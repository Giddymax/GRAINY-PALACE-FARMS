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be4c472b24c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ain Budget" sheetId="1" r:id="R54f52d37251d43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&quot;GHS &quot;#,##0;(&quot;GHS &quot;#,##0);-"/>
    <x:numFmt numFmtId="201" formatCode="&quot;GHS &quot;#,##0.00"/>
    <x:numFmt numFmtId="202" formatCode="0.0%"/>
    <x:numFmt numFmtId="203" formatCode="&quot;GHS &quot;#,##0"/>
    <x:numFmt numFmtId="204" formatCode="#,##0"/>
    <x:numFmt numFmtId="205" formatCode="#,##0.0"/>
  </x:numFmts>
  <x:fonts count="11">
    <x:font>
      <x:sz val="11"/>
      <x:name val="Carlito"/>
    </x:font>
    <x:font>
      <x:b/>
      <x:sz val="16"/>
      <x:color rgb="FF1F5A3A"/>
      <x:name val="Arial"/>
    </x:font>
    <x:font>
      <x:i/>
      <x:sz val="9"/>
      <x:color rgb="FF5C665E"/>
      <x:name val="Arial"/>
    </x:font>
    <x:font>
      <x:b/>
      <x:sz val="10"/>
      <x:color rgb="FF26352B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26352B"/>
      <x:name val="Arial"/>
    </x:font>
    <x:font>
      <x:b/>
      <x:sz val="11"/>
      <x:color rgb="FFFFFFFF"/>
      <x:name val="Arial"/>
    </x:font>
    <x:font>
      <x:b/>
      <x:sz val="9"/>
      <x:color rgb="FF26352B"/>
      <x:name val="Arial"/>
    </x:font>
    <x:font>
      <x:sz val="9"/>
      <x:color rgb="FF0000FF"/>
      <x:name val="Arial"/>
    </x:font>
    <x:font>
      <x:sz val="9"/>
      <x:color rgb="FF26352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4F7F4"/>
      </x:patternFill>
    </x:fill>
    <x:fill>
      <x:patternFill patternType="solid">
        <x:fgColor rgb="FF1F5A3A"/>
      </x:patternFill>
    </x:fill>
    <x:fill>
      <x:patternFill patternType="solid">
        <x:fgColor rgb="FFFFF2CC"/>
      </x:patternFill>
    </x:fill>
    <x:fill>
      <x:patternFill patternType="solid">
        <x:fgColor rgb="FFE7EFE9"/>
      </x:patternFill>
    </x:fill>
  </x:fills>
  <x:borders count="14">
    <x:border>
      <x:left/>
      <x:right/>
      <x:top/>
      <x:bottom/>
      <x:diagonal/>
    </x:border>
    <x:border>
      <x:left style="thin">
        <x:color rgb="FFC8D4CB"/>
      </x:left>
      <x:right/>
      <x:top style="thin">
        <x:color rgb="FFC8D4CB"/>
      </x:top>
      <x:bottom/>
      <x:diagonal/>
    </x:border>
    <x:border>
      <x:left/>
      <x:right style="thin">
        <x:color rgb="FFC8D4CB"/>
      </x:right>
      <x:top style="thin">
        <x:color rgb="FFC8D4CB"/>
      </x:top>
      <x:bottom/>
      <x:diagonal/>
    </x:border>
    <x:border>
      <x:left style="thin">
        <x:color rgb="FFC8D4CB"/>
      </x:left>
      <x:right/>
      <x:top/>
      <x:bottom/>
      <x:diagonal/>
    </x:border>
    <x:border>
      <x:left/>
      <x:right style="thin">
        <x:color rgb="FFC8D4CB"/>
      </x:right>
      <x:top/>
      <x:bottom/>
      <x:diagonal/>
    </x:border>
    <x:border>
      <x:left style="thin">
        <x:color rgb="FFC8D4CB"/>
      </x:left>
      <x:right/>
      <x:top/>
      <x:bottom style="thin">
        <x:color rgb="FFC8D4CB"/>
      </x:bottom>
      <x:diagonal/>
    </x:border>
    <x:border>
      <x:left/>
      <x:right style="thin">
        <x:color rgb="FFC8D4CB"/>
      </x:right>
      <x:top/>
      <x:bottom style="thin">
        <x:color rgb="FFC8D4CB"/>
      </x:bottom>
      <x:diagonal/>
    </x:border>
    <x:border>
      <x:left/>
      <x:right/>
      <x:top/>
      <x:bottom style="thin">
        <x:color rgb="FFC8D4CB"/>
      </x:bottom>
      <x:diagonal/>
    </x:border>
    <x:border>
      <x:left/>
      <x:right/>
      <x:top style="thin">
        <x:color rgb="FFC8D4CB"/>
      </x:top>
      <x:bottom style="thin">
        <x:color rgb="FFC8D4CB"/>
      </x:bottom>
      <x:diagonal/>
    </x:border>
    <x:border>
      <x:left/>
      <x:right/>
      <x:top style="thin">
        <x:color rgb="FFC8D4CB"/>
      </x:top>
      <x:bottom/>
      <x:diagonal/>
    </x:border>
    <x:border>
      <x:left/>
      <x:right/>
      <x:top/>
      <x:bottom style="thin">
        <x:color rgb="FFE4EAE5"/>
      </x:bottom>
      <x:diagonal/>
    </x:border>
    <x:border>
      <x:left/>
      <x:right/>
      <x:top style="thin">
        <x:color rgb="FFE4EAE5"/>
      </x:top>
      <x:bottom style="thin">
        <x:color rgb="FFE4EAE5"/>
      </x:bottom>
      <x:diagonal/>
    </x:border>
    <x:border>
      <x:left/>
      <x:right/>
      <x:top style="thin">
        <x:color rgb="FFE4EAE5"/>
      </x:top>
      <x:bottom/>
      <x:diagonal/>
    </x:border>
    <x:border>
      <x:left/>
      <x:right/>
      <x:top style="thin">
        <x:color rgb="FF1F5A3A"/>
      </x:top>
      <x:bottom/>
      <x:diagonal/>
    </x:border>
  </x:borders>
  <x:cellStyleXfs count="1">
    <x:xf numFmtId="0" fontId="0" fillId="0" borderId="0"/>
  </x:cellStyleXfs>
  <x:cellXfs count="1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2" borderId="2" xfId="0" applyNumberFormat="1" applyFont="1" applyFill="1" applyBorder="1"/>
    <x:xf numFmtId="0" fontId="3" fillId="2" borderId="4" xfId="0" applyNumberFormat="1" applyFont="1" applyFill="1" applyBorder="1"/>
    <x:xf numFmtId="0" fontId="3" fillId="2" borderId="6" xfId="0" applyNumberFormat="1" applyFont="1" applyFill="1" applyBorder="1"/>
    <x:xf numFmtId="200" fontId="3" fillId="2" borderId="2" xfId="0" applyNumberFormat="1" applyFont="1" applyFill="1" applyBorder="1"/>
    <x:xf numFmtId="200" fontId="3" fillId="2" borderId="4" xfId="0" applyNumberFormat="1" applyFont="1" applyFill="1" applyBorder="1"/>
    <x:xf numFmtId="200" fontId="3" fillId="2" borderId="6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7" xfId="0" applyNumberFormat="1" applyFont="1" applyFill="1" applyBorder="1"/>
    <x:xf numFmtId="0" fontId="5" fillId="4" borderId="7" xfId="0" applyNumberFormat="1" applyFont="1" applyFill="1" applyBorder="1"/>
    <x:xf numFmtId="0" fontId="6" fillId="0" borderId="8" xfId="0" applyNumberFormat="1" applyFont="1" applyFill="1" applyBorder="1"/>
    <x:xf numFmtId="0" fontId="5" fillId="4" borderId="8" xfId="0" applyNumberFormat="1" applyFont="1" applyFill="1" applyBorder="1"/>
    <x:xf numFmtId="0" fontId="6" fillId="0" borderId="9" xfId="0" applyNumberFormat="1" applyFont="1" applyFill="1" applyBorder="1"/>
    <x:xf numFmtId="0" fontId="5" fillId="4" borderId="9" xfId="0" applyNumberFormat="1" applyFont="1" applyFill="1" applyBorder="1"/>
    <x:xf numFmtId="201" fontId="5" fillId="4" borderId="7" xfId="0" applyNumberFormat="1" applyFont="1" applyFill="1" applyBorder="1"/>
    <x:xf numFmtId="201" fontId="5" fillId="4" borderId="8" xfId="0" applyNumberFormat="1" applyFont="1" applyFill="1" applyBorder="1"/>
    <x:xf numFmtId="202" fontId="5" fillId="4" borderId="8" xfId="0" applyNumberFormat="1" applyFont="1" applyFill="1" applyBorder="1"/>
    <x:xf numFmtId="203" fontId="5" fillId="4" borderId="8" xfId="0" applyNumberFormat="1" applyFont="1" applyFill="1" applyBorder="1"/>
    <x:xf numFmtId="204" fontId="5" fillId="4" borderId="8" xfId="0" applyNumberFormat="1" applyFont="1" applyFill="1" applyBorder="1"/>
    <x:xf numFmtId="203" fontId="5" fillId="4" borderId="9" xfId="0" applyNumberFormat="1" applyFont="1" applyFill="1" applyBorder="1"/>
    <x:xf numFmtId="0" fontId="7" fillId="3" borderId="0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/>
    <x:xf numFmtId="0" fontId="10" fillId="0" borderId="0" xfId="0" applyNumberFormat="1" applyFont="1" applyFill="1" applyBorder="1"/>
    <x:xf numFmtId="0" fontId="10" fillId="4" borderId="0" xfId="0" applyNumberFormat="1" applyFont="1" applyFill="1" applyBorder="1"/>
    <x:xf numFmtId="205" fontId="9" fillId="4" borderId="0" xfId="0" applyNumberFormat="1" applyFont="1" applyFill="1" applyBorder="1"/>
    <x:xf numFmtId="205" fontId="10" fillId="0" borderId="0" xfId="0" applyNumberFormat="1" applyFont="1" applyFill="1" applyBorder="1"/>
    <x:xf numFmtId="200" fontId="10" fillId="0" borderId="0" xfId="0" applyNumberFormat="1" applyFont="1" applyFill="1" applyBorder="1"/>
    <x:xf numFmtId="200" fontId="9" fillId="4" borderId="0" xfId="0" applyNumberFormat="1" applyFont="1" applyFill="1" applyBorder="1"/>
    <x:xf numFmtId="0" fontId="10" fillId="0" borderId="10" xfId="0" applyNumberFormat="1" applyFont="1" applyFill="1" applyBorder="1"/>
    <x:xf numFmtId="205" fontId="9" fillId="4" borderId="10" xfId="0" applyNumberFormat="1" applyFont="1" applyFill="1" applyBorder="1"/>
    <x:xf numFmtId="205" fontId="10" fillId="0" borderId="10" xfId="0" applyNumberFormat="1" applyFont="1" applyFill="1" applyBorder="1"/>
    <x:xf numFmtId="200" fontId="10" fillId="0" borderId="10" xfId="0" applyNumberFormat="1" applyFont="1" applyFill="1" applyBorder="1"/>
    <x:xf numFmtId="200" fontId="9" fillId="4" borderId="10" xfId="0" applyNumberFormat="1" applyFont="1" applyFill="1" applyBorder="1"/>
    <x:xf numFmtId="0" fontId="10" fillId="0" borderId="11" xfId="0" applyNumberFormat="1" applyFont="1" applyFill="1" applyBorder="1"/>
    <x:xf numFmtId="205" fontId="9" fillId="4" borderId="11" xfId="0" applyNumberFormat="1" applyFont="1" applyFill="1" applyBorder="1"/>
    <x:xf numFmtId="205" fontId="10" fillId="0" borderId="11" xfId="0" applyNumberFormat="1" applyFont="1" applyFill="1" applyBorder="1"/>
    <x:xf numFmtId="200" fontId="10" fillId="0" borderId="11" xfId="0" applyNumberFormat="1" applyFont="1" applyFill="1" applyBorder="1"/>
    <x:xf numFmtId="200" fontId="9" fillId="4" borderId="11" xfId="0" applyNumberFormat="1" applyFont="1" applyFill="1" applyBorder="1"/>
    <x:xf numFmtId="0" fontId="10" fillId="0" borderId="12" xfId="0" applyNumberFormat="1" applyFont="1" applyFill="1" applyBorder="1"/>
    <x:xf numFmtId="205" fontId="9" fillId="4" borderId="12" xfId="0" applyNumberFormat="1" applyFont="1" applyFill="1" applyBorder="1"/>
    <x:xf numFmtId="205" fontId="10" fillId="0" borderId="12" xfId="0" applyNumberFormat="1" applyFont="1" applyFill="1" applyBorder="1"/>
    <x:xf numFmtId="200" fontId="10" fillId="0" borderId="12" xfId="0" applyNumberFormat="1" applyFont="1" applyFill="1" applyBorder="1"/>
    <x:xf numFmtId="200" fontId="9" fillId="4" borderId="12" xfId="0" applyNumberFormat="1" applyFont="1" applyFill="1" applyBorder="1"/>
    <x:xf numFmtId="0" fontId="3" fillId="5" borderId="0" xfId="0" applyNumberFormat="1" applyFont="1" applyFill="1" applyBorder="1"/>
    <x:xf numFmtId="0" fontId="3" fillId="5" borderId="13" xfId="0" applyNumberFormat="1" applyFont="1" applyFill="1" applyBorder="1"/>
    <x:xf numFmtId="205" fontId="3" fillId="5" borderId="13" xfId="0" applyNumberFormat="1" applyFont="1" applyFill="1" applyBorder="1"/>
    <x:xf numFmtId="200" fontId="3" fillId="5" borderId="13" xfId="0" applyNumberFormat="1" applyFont="1" applyFill="1" applyBorder="1"/>
    <x:xf numFmtId="200" fontId="5" fillId="4" borderId="0" xfId="0" applyNumberFormat="1" applyFont="1" applyFill="1" applyBorder="1"/>
    <x:xf numFmtId="0" fontId="0" fillId="0" borderId="7" xfId="0" applyNumberFormat="1" applyFont="1" applyFill="1" applyBorder="1"/>
    <x:xf numFmtId="200" fontId="5" fillId="4" borderId="7" xfId="0" applyNumberFormat="1" applyFont="1" applyFill="1" applyBorder="1"/>
    <x:xf numFmtId="0" fontId="0" fillId="0" borderId="8" xfId="0" applyNumberFormat="1" applyFont="1" applyFill="1" applyBorder="1"/>
    <x:xf numFmtId="200" fontId="5" fillId="4" borderId="8" xfId="0" applyNumberFormat="1" applyFont="1" applyFill="1" applyBorder="1"/>
    <x:xf numFmtId="0" fontId="0" fillId="0" borderId="9" xfId="0" applyNumberFormat="1" applyFont="1" applyFill="1" applyBorder="1"/>
    <x:xf numFmtId="200" fontId="5" fillId="4" borderId="9" xfId="0" applyNumberFormat="1" applyFont="1" applyFill="1" applyBorder="1"/>
    <x:xf numFmtId="0" fontId="10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2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200" fontId="3" fillId="2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200" fontId="3" fillId="2" borderId="6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201" fontId="5" fillId="4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201" fontId="5" fillId="4" borderId="8" xfId="0" applyNumberFormat="1" applyFont="1" applyFill="1" applyBorder="1" applyAlignment="1">
      <x:alignment vertical="center"/>
    </x:xf>
    <x:xf numFmtId="202" fontId="5" fillId="4" borderId="8" xfId="0" applyNumberFormat="1" applyFont="1" applyFill="1" applyBorder="1" applyAlignment="1">
      <x:alignment vertical="center"/>
    </x:xf>
    <x:xf numFmtId="203" fontId="5" fillId="4" borderId="8" xfId="0" applyNumberFormat="1" applyFont="1" applyFill="1" applyBorder="1" applyAlignment="1">
      <x:alignment vertical="center"/>
    </x:xf>
    <x:xf numFmtId="204" fontId="5" fillId="4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203" fontId="5" fillId="4" borderId="9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10" fillId="0" borderId="10" xfId="0" applyNumberFormat="1" applyFont="1" applyFill="1" applyBorder="1" applyAlignment="1">
      <x:alignment vertical="center"/>
    </x:xf>
    <x:xf numFmtId="205" fontId="9" fillId="4" borderId="10" xfId="0" applyNumberFormat="1" applyFont="1" applyFill="1" applyBorder="1" applyAlignment="1">
      <x:alignment vertical="center"/>
    </x:xf>
    <x:xf numFmtId="205" fontId="10" fillId="0" borderId="10" xfId="0" applyNumberFormat="1" applyFont="1" applyFill="1" applyBorder="1" applyAlignment="1">
      <x:alignment vertical="center"/>
    </x:xf>
    <x:xf numFmtId="200" fontId="10" fillId="0" borderId="10" xfId="0" applyNumberFormat="1" applyFont="1" applyFill="1" applyBorder="1" applyAlignment="1">
      <x:alignment vertical="center"/>
    </x:xf>
    <x:xf numFmtId="200" fontId="9" fillId="4" borderId="10" xfId="0" applyNumberFormat="1" applyFont="1" applyFill="1" applyBorder="1" applyAlignment="1">
      <x:alignment vertical="center"/>
    </x:xf>
    <x:xf numFmtId="0" fontId="10" fillId="0" borderId="11" xfId="0" applyNumberFormat="1" applyFont="1" applyFill="1" applyBorder="1" applyAlignment="1">
      <x:alignment vertical="center"/>
    </x:xf>
    <x:xf numFmtId="205" fontId="9" fillId="4" borderId="11" xfId="0" applyNumberFormat="1" applyFont="1" applyFill="1" applyBorder="1" applyAlignment="1">
      <x:alignment vertical="center"/>
    </x:xf>
    <x:xf numFmtId="205" fontId="10" fillId="0" borderId="11" xfId="0" applyNumberFormat="1" applyFont="1" applyFill="1" applyBorder="1" applyAlignment="1">
      <x:alignment vertical="center"/>
    </x:xf>
    <x:xf numFmtId="200" fontId="10" fillId="0" borderId="11" xfId="0" applyNumberFormat="1" applyFont="1" applyFill="1" applyBorder="1" applyAlignment="1">
      <x:alignment vertical="center"/>
    </x:xf>
    <x:xf numFmtId="200" fontId="9" fillId="4" borderId="11" xfId="0" applyNumberFormat="1" applyFont="1" applyFill="1" applyBorder="1" applyAlignment="1">
      <x:alignment vertical="center"/>
    </x:xf>
    <x:xf numFmtId="0" fontId="10" fillId="0" borderId="12" xfId="0" applyNumberFormat="1" applyFont="1" applyFill="1" applyBorder="1" applyAlignment="1">
      <x:alignment vertical="center"/>
    </x:xf>
    <x:xf numFmtId="205" fontId="9" fillId="4" borderId="12" xfId="0" applyNumberFormat="1" applyFont="1" applyFill="1" applyBorder="1" applyAlignment="1">
      <x:alignment vertical="center"/>
    </x:xf>
    <x:xf numFmtId="205" fontId="10" fillId="0" borderId="12" xfId="0" applyNumberFormat="1" applyFont="1" applyFill="1" applyBorder="1" applyAlignment="1">
      <x:alignment vertical="center"/>
    </x:xf>
    <x:xf numFmtId="200" fontId="10" fillId="0" borderId="12" xfId="0" applyNumberFormat="1" applyFont="1" applyFill="1" applyBorder="1" applyAlignment="1">
      <x:alignment vertical="center"/>
    </x:xf>
    <x:xf numFmtId="200" fontId="9" fillId="4" borderId="12" xfId="0" applyNumberFormat="1" applyFont="1" applyFill="1" applyBorder="1" applyAlignment="1">
      <x:alignment vertical="center"/>
    </x:xf>
    <x:xf numFmtId="0" fontId="3" fillId="5" borderId="13" xfId="0" applyNumberFormat="1" applyFont="1" applyFill="1" applyBorder="1" applyAlignment="1">
      <x:alignment vertical="center"/>
    </x:xf>
    <x:xf numFmtId="205" fontId="3" fillId="5" borderId="13" xfId="0" applyNumberFormat="1" applyFont="1" applyFill="1" applyBorder="1" applyAlignment="1">
      <x:alignment vertical="center"/>
    </x:xf>
    <x:xf numFmtId="200" fontId="3" fillId="5" borderId="13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0" fontId="5" fillId="4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0" fontId="5" fillId="4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0" fontId="5" fillId="4" borderId="9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0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7dc87ddcc344a5" /><Relationship Type="http://schemas.openxmlformats.org/officeDocument/2006/relationships/theme" Target="/xl/theme/theme1.xml" Id="R9250b8dacbb8430b" /><Relationship Type="http://schemas.openxmlformats.org/officeDocument/2006/relationships/sharedStrings" Target="/xl/sharedStrings.xml" Id="Rbc8c1e5482064d84" /><Relationship Type="http://schemas.openxmlformats.org/officeDocument/2006/relationships/worksheet" Target="/xl/worksheets/sheet1.xml" Id="R54f52d37251d43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5A3A"/>
  </x:sheetPr>
  <x:sheetViews>
    <x:sheetView showGridLines="0" workbookViewId="0">
      <x:pane ySplit="23" topLeftCell="A24" activePane="bottomLeft" state="frozen"/>
    </x:sheetView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8" customHeight="1">
      <x:c r="A1" s="74" t="str">
        <x:v>Plantain Aggregation Budget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  <x:c r="N1" s="74"/>
    </x:row>
    <x:row r="2" ht="20" customHeight="1">
      <x:c r="A2" s="75" t="str">
        <x:v>Ghana cedis (GHS). Enter current buyer, farmer, route and operating figures in yellow cells. No prices, tonnes or costs have been assumed.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</x:row>
    <x:row r="3">
      <x:c r="A3" s="76"/>
      <x:c r="B3" s="76"/>
      <x:c r="C3" s="76"/>
      <x:c r="D3" s="76"/>
      <x:c r="E3" s="76"/>
      <x:c r="F3" s="76"/>
      <x:c r="G3" s="76"/>
      <x:c r="H3" s="76"/>
      <x:c r="I3" s="76"/>
      <x:c r="J3" s="76"/>
      <x:c r="K3" s="76"/>
      <x:c r="L3" s="76"/>
      <x:c r="M3" s="76"/>
      <x:c r="N3" s="76"/>
    </x:row>
    <x:row r="4">
      <x:c r="A4" s="77" t="str">
        <x:v>Annual contribution</x:v>
      </x:c>
      <x:c r="B4" s="78" t="str">
        <x:f>IF(COUNT(L24:L35)=0,"",SUM(L24:L35))</x:f>
      </x:c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9" t="str">
        <x:v>Estimated rolling working capital</x:v>
      </x:c>
      <x:c r="B5" s="80" t="str">
        <x:f>IF(COUNT(N24:N35)=0,"",MAX(N24:N35))</x:f>
      </x:c>
      <x:c r="C5" s="76"/>
      <x:c r="D5" s="76"/>
      <x:c r="E5" s="76"/>
      <x:c r="F5" s="76"/>
      <x:c r="G5" s="76"/>
      <x:c r="H5" s="76"/>
      <x:c r="I5" s="76"/>
      <x:c r="J5" s="76"/>
      <x:c r="K5" s="76"/>
      <x:c r="L5" s="76"/>
      <x:c r="M5" s="76"/>
      <x:c r="N5" s="76"/>
    </x:row>
    <x:row r="6">
      <x:c r="A6" s="79" t="str">
        <x:v>One-time setup budget</x:v>
      </x:c>
      <x:c r="B6" s="80" t="str">
        <x:f>IF(COUNT(B42:B47)&lt;6,"",SUM(B42:B47))</x:f>
      </x:c>
      <x:c r="C6" s="76"/>
      <x:c r="D6" s="76"/>
      <x:c r="E6" s="76"/>
      <x:c r="F6" s="76"/>
      <x:c r="G6" s="76"/>
      <x:c r="H6" s="76"/>
      <x:c r="I6" s="76"/>
      <x:c r="J6" s="76"/>
      <x:c r="K6" s="76"/>
      <x:c r="L6" s="76"/>
      <x:c r="M6" s="76"/>
      <x:c r="N6" s="76"/>
    </x:row>
    <x:row r="7">
      <x:c r="A7" s="81" t="str">
        <x:v>Funding gap after owner capital</x:v>
      </x:c>
      <x:c r="B7" s="82" t="str">
        <x:f>IF(OR(COUNT(N24:N35)=0,COUNT(B42:B47)&lt;6,COUNT(B18)=0),"",MAX(0,MAX(N24:N35)+SUM(B42:B47)-B18))</x:f>
      </x:c>
      <x:c r="C7" s="76"/>
      <x:c r="D7" s="76"/>
      <x:c r="E7" s="76"/>
      <x:c r="F7" s="76"/>
      <x:c r="G7" s="76"/>
      <x:c r="H7" s="76"/>
      <x:c r="I7" s="76"/>
      <x:c r="J7" s="76"/>
      <x:c r="K7" s="76"/>
      <x:c r="L7" s="76"/>
      <x:c r="M7" s="76"/>
      <x:c r="N7" s="76"/>
    </x:row>
    <x:row r="8">
      <x:c r="A8" s="76"/>
      <x:c r="B8" s="76"/>
      <x:c r="C8" s="76"/>
      <x:c r="D8" s="76"/>
      <x:c r="E8" s="76"/>
      <x:c r="F8" s="76"/>
      <x:c r="G8" s="76"/>
      <x:c r="H8" s="76"/>
      <x:c r="I8" s="76"/>
      <x:c r="J8" s="76"/>
      <x:c r="K8" s="76"/>
      <x:c r="L8" s="76"/>
      <x:c r="M8" s="76"/>
      <x:c r="N8" s="76"/>
    </x:row>
    <x:row r="9">
      <x:c r="A9" s="83" t="str">
        <x:v>Core assumptions</x:v>
      </x:c>
      <x:c r="B9" s="83" t="str">
        <x:v>Input</x:v>
      </x:c>
      <x:c r="C9" s="76"/>
      <x:c r="D9" s="76"/>
      <x:c r="E9" s="76"/>
      <x:c r="F9" s="76"/>
      <x:c r="G9" s="76"/>
      <x:c r="H9" s="76"/>
      <x:c r="I9" s="76"/>
      <x:c r="J9" s="76"/>
      <x:c r="K9" s="76"/>
      <x:c r="L9" s="76"/>
      <x:c r="M9" s="76"/>
      <x:c r="N9" s="76"/>
    </x:row>
    <x:row r="10">
      <x:c r="A10" s="120" t="str">
        <x:v>Buyer price (GHS per tonne)</x:v>
      </x:c>
      <x:c r="B10" s="85"/>
      <x:c r="C10" s="76"/>
      <x:c r="D10" s="76"/>
      <x:c r="E10" s="76"/>
      <x:c r="F10" s="76"/>
      <x:c r="G10" s="76"/>
      <x:c r="H10" s="76"/>
      <x:c r="I10" s="76"/>
      <x:c r="J10" s="76"/>
      <x:c r="K10" s="76"/>
      <x:c r="L10" s="76"/>
      <x:c r="M10" s="76"/>
      <x:c r="N10" s="76"/>
    </x:row>
    <x:row r="11">
      <x:c r="A11" s="121" t="str">
        <x:v>Farmer purchase price (GHS per tonne)</x:v>
      </x:c>
      <x:c r="B11" s="87"/>
      <x:c r="C11" s="76"/>
      <x:c r="D11" s="76"/>
      <x:c r="E11" s="76"/>
      <x:c r="F11" s="76"/>
      <x:c r="G11" s="76"/>
      <x:c r="H11" s="76"/>
      <x:c r="I11" s="76"/>
      <x:c r="J11" s="76"/>
      <x:c r="K11" s="76"/>
      <x:c r="L11" s="76"/>
      <x:c r="M11" s="76"/>
      <x:c r="N11" s="76"/>
    </x:row>
    <x:row r="12">
      <x:c r="A12" s="121" t="str">
        <x:v>Expected rejection / loss rate</x:v>
      </x:c>
      <x:c r="B12" s="88"/>
      <x:c r="C12" s="76"/>
      <x:c r="D12" s="76"/>
      <x:c r="E12" s="76"/>
      <x:c r="F12" s="76"/>
      <x:c r="G12" s="76"/>
      <x:c r="H12" s="76"/>
      <x:c r="I12" s="76"/>
      <x:c r="J12" s="76"/>
      <x:c r="K12" s="76"/>
      <x:c r="L12" s="76"/>
      <x:c r="M12" s="76"/>
      <x:c r="N12" s="76"/>
    </x:row>
    <x:row r="13">
      <x:c r="A13" s="121" t="str">
        <x:v>Harvest and loading cost (GHS per tonne)</x:v>
      </x:c>
      <x:c r="B13" s="89"/>
      <x:c r="C13" s="76"/>
      <x:c r="D13" s="76"/>
      <x:c r="E13" s="76"/>
      <x:c r="F13" s="76"/>
      <x:c r="G13" s="76"/>
      <x:c r="H13" s="76"/>
      <x:c r="I13" s="76"/>
      <x:c r="J13" s="76"/>
      <x:c r="K13" s="76"/>
      <x:c r="L13" s="76"/>
      <x:c r="M13" s="76"/>
      <x:c r="N13" s="76"/>
    </x:row>
    <x:row r="14">
      <x:c r="A14" s="121" t="str">
        <x:v>Transport cost (GHS per tonne)</x:v>
      </x:c>
      <x:c r="B14" s="89"/>
      <x:c r="C14" s="76"/>
      <x:c r="D14" s="76"/>
      <x:c r="E14" s="76"/>
      <x:c r="F14" s="76"/>
      <x:c r="G14" s="76"/>
      <x:c r="H14" s="76"/>
      <x:c r="I14" s="76"/>
      <x:c r="J14" s="76"/>
      <x:c r="K14" s="76"/>
      <x:c r="L14" s="76"/>
      <x:c r="M14" s="76"/>
      <x:c r="N14" s="76"/>
    </x:row>
    <x:row r="15">
      <x:c r="A15" s="121" t="str">
        <x:v>Grading, packing and market handling (GHS per tonne)</x:v>
      </x:c>
      <x:c r="B15" s="89"/>
      <x:c r="C15" s="76"/>
      <x:c r="D15" s="76"/>
      <x:c r="E15" s="76"/>
      <x:c r="F15" s="76"/>
      <x:c r="G15" s="76"/>
      <x:c r="H15" s="76"/>
      <x:c r="I15" s="76"/>
      <x:c r="J15" s="76"/>
      <x:c r="K15" s="76"/>
      <x:c r="L15" s="76"/>
      <x:c r="M15" s="76"/>
      <x:c r="N15" s="76"/>
    </x:row>
    <x:row r="16">
      <x:c r="A16" s="121" t="str">
        <x:v>Buyer advance (% of invoice)</x:v>
      </x:c>
      <x:c r="B16" s="88"/>
      <x:c r="C16" s="76"/>
      <x:c r="D16" s="76"/>
      <x:c r="E16" s="76"/>
      <x:c r="F16" s="76"/>
      <x:c r="G16" s="76"/>
      <x:c r="H16" s="76"/>
      <x:c r="I16" s="76"/>
      <x:c r="J16" s="76"/>
      <x:c r="K16" s="76"/>
      <x:c r="L16" s="76"/>
      <x:c r="M16" s="76"/>
      <x:c r="N16" s="76"/>
    </x:row>
    <x:row r="17">
      <x:c r="A17" s="121" t="str">
        <x:v>Buyer payment period (days)</x:v>
      </x:c>
      <x:c r="B17" s="90"/>
      <x:c r="C17" s="76"/>
      <x:c r="D17" s="76"/>
      <x:c r="E17" s="76"/>
      <x:c r="F17" s="76"/>
      <x:c r="G17" s="76"/>
      <x:c r="H17" s="76"/>
      <x:c r="I17" s="76"/>
      <x:c r="J17" s="76"/>
      <x:c r="K17" s="76"/>
      <x:c r="L17" s="76"/>
      <x:c r="M17" s="76"/>
      <x:c r="N17" s="76"/>
    </x:row>
    <x:row r="18">
      <x:c r="A18" s="122" t="str">
        <x:v>Owner capital available (GHS)</x:v>
      </x:c>
      <x:c r="B18" s="92"/>
      <x:c r="C18" s="76"/>
      <x:c r="D18" s="76"/>
      <x:c r="E18" s="76"/>
      <x:c r="F18" s="76"/>
      <x:c r="G18" s="76"/>
      <x:c r="H18" s="76"/>
      <x:c r="I18" s="76"/>
      <x:c r="J18" s="76"/>
      <x:c r="K18" s="76"/>
      <x:c r="L18" s="76"/>
      <x:c r="M18" s="76"/>
      <x:c r="N18" s="76"/>
    </x:row>
    <x:row r="19">
      <x:c r="A19" s="75" t="str">
        <x:v>Optional cost rates left blank count as zero. Buyer advance left blank counts as none.</x:v>
      </x:c>
      <x:c r="B19" s="75"/>
      <x:c r="C19" s="76"/>
      <x:c r="D19" s="76"/>
      <x:c r="E19" s="76"/>
      <x:c r="F19" s="76"/>
      <x:c r="G19" s="76"/>
      <x:c r="H19" s="76"/>
      <x:c r="I19" s="76"/>
      <x:c r="J19" s="76"/>
      <x:c r="K19" s="76"/>
      <x:c r="L19" s="76"/>
      <x:c r="M19" s="76"/>
      <x:c r="N19" s="76"/>
    </x:row>
    <x:row r="20">
      <x:c r="A20" s="76"/>
      <x:c r="B20" s="76"/>
      <x:c r="C20" s="76"/>
      <x:c r="D20" s="76"/>
      <x:c r="E20" s="76"/>
      <x:c r="F20" s="76"/>
      <x:c r="G20" s="76"/>
      <x:c r="H20" s="76"/>
      <x:c r="I20" s="76"/>
      <x:c r="J20" s="76"/>
      <x:c r="K20" s="76"/>
      <x:c r="L20" s="76"/>
      <x:c r="M20" s="76"/>
      <x:c r="N20" s="76"/>
    </x:row>
    <x:row r="21">
      <x:c r="A21" s="93" t="str">
        <x:v>Monthly operating budget</x:v>
      </x:c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</x:row>
    <x:row r="22" ht="20" customHeight="1">
      <x:c r="A22" s="75" t="str">
        <x:v>Enter planned monthly tonnes and other direct costs / overhead. Agree whether the buyer prices by bunch or weight. If priced by bunch, use trial-lot weights to convert to an accepted-tonne basis. Working capital is a planning estimate based on monthly cash outflow and buyer payment days.</x:v>
      </x:c>
      <x:c r="B22" s="75"/>
      <x:c r="C22" s="75"/>
      <x:c r="D22" s="75"/>
      <x:c r="E22" s="75"/>
      <x:c r="F22" s="75"/>
      <x:c r="G22" s="75"/>
      <x:c r="H22" s="75"/>
      <x:c r="I22" s="75"/>
      <x:c r="J22" s="75"/>
      <x:c r="K22" s="75"/>
      <x:c r="L22" s="75"/>
      <x:c r="M22" s="75"/>
      <x:c r="N22" s="75"/>
    </x:row>
    <x:row r="23" ht="42" customHeight="1">
      <x:c r="A23" s="39" t="str">
        <x:v>Month</x:v>
      </x:c>
      <x:c r="B23" s="39" t="str">
        <x:v>Purchased tonnes</x:v>
      </x:c>
      <x:c r="C23" s="39" t="str">
        <x:v>Accepted tonnes</x:v>
      </x:c>
      <x:c r="D23" s="39" t="str">
        <x:v>Buyer revenue</x:v>
      </x:c>
      <x:c r="E23" s="39" t="str">
        <x:v>Farmer purchases</x:v>
      </x:c>
      <x:c r="F23" s="39" t="str">
        <x:v>Harvest and loading</x:v>
      </x:c>
      <x:c r="G23" s="39" t="str">
        <x:v>Transport</x:v>
      </x:c>
      <x:c r="H23" s="39" t="str">
        <x:v>Grading and handling</x:v>
      </x:c>
      <x:c r="I23" s="39" t="str">
        <x:v>Other direct costs</x:v>
      </x:c>
      <x:c r="J23" s="39" t="str">
        <x:v>Monthly overhead</x:v>
      </x:c>
      <x:c r="K23" s="39" t="str">
        <x:v>Total cash costs</x:v>
      </x:c>
      <x:c r="L23" s="39" t="str">
        <x:v>Contribution</x:v>
      </x:c>
      <x:c r="M23" s="39" t="str">
        <x:v>Buyer advance</x:v>
      </x:c>
      <x:c r="N23" s="39" t="str">
        <x:v>Working capital estimate</x:v>
      </x:c>
    </x:row>
    <x:row r="24">
      <x:c r="A24" s="94" t="str">
        <x:v>Month 1</x:v>
      </x:c>
      <x:c r="B24" s="95"/>
      <x:c r="C24" s="96" t="str">
        <x:f>IF(COUNT(B24,$B$12)&lt;2,"",B24*(1-$B$12))</x:f>
      </x:c>
      <x:c r="D24" s="97" t="str">
        <x:f>IF(COUNT(C24,$B$10)&lt;2,"",C24*$B$10)</x:f>
      </x:c>
      <x:c r="E24" s="97" t="str">
        <x:f>IF(COUNT(B24,$B$11)&lt;2,"",B24*$B$11)</x:f>
      </x:c>
      <x:c r="F24" s="97" t="str">
        <x:f>IF(COUNT(B24)=0,"",B24*IF($B$13="",0,$B$13))</x:f>
      </x:c>
      <x:c r="G24" s="97" t="str">
        <x:f>IF(COUNT(B24)=0,"",B24*IF($B$14="",0,$B$14))</x:f>
      </x:c>
      <x:c r="H24" s="97" t="str">
        <x:f>IF(COUNT(B24)=0,"",B24*IF($B$15="",0,$B$15))</x:f>
      </x:c>
      <x:c r="I24" s="98"/>
      <x:c r="J24" s="98"/>
      <x:c r="K24" s="97" t="str">
        <x:f>IF(COUNT(E24)=0,"",SUM(E24:J24))</x:f>
      </x:c>
      <x:c r="L24" s="97" t="str">
        <x:f>IF(COUNT(D24,K24)&lt;2,"",D24-K24)</x:f>
      </x:c>
      <x:c r="M24" s="97" t="str">
        <x:f>IF(COUNT(D24)=0,"",D24*IF($B$16="",0,$B$16))</x:f>
      </x:c>
      <x:c r="N24" s="97" t="str">
        <x:f>IF(COUNT(K24,$B$17)&lt;2,"",MAX(0,(K24-M24)*$B$17/30))</x:f>
      </x:c>
    </x:row>
    <x:row r="25">
      <x:c r="A25" s="99" t="str">
        <x:v>Month 2</x:v>
      </x:c>
      <x:c r="B25" s="100"/>
      <x:c r="C25" s="101" t="str">
        <x:f>IF(COUNT(B25,$B$12)&lt;2,"",B25*(1-$B$12))</x:f>
      </x:c>
      <x:c r="D25" s="102" t="str">
        <x:f>IF(COUNT(C25,$B$10)&lt;2,"",C25*$B$10)</x:f>
      </x:c>
      <x:c r="E25" s="102" t="str">
        <x:f>IF(COUNT(B25,$B$11)&lt;2,"",B25*$B$11)</x:f>
      </x:c>
      <x:c r="F25" s="102" t="str">
        <x:f>IF(COUNT(B25)=0,"",B25*IF($B$13="",0,$B$13))</x:f>
      </x:c>
      <x:c r="G25" s="102" t="str">
        <x:f>IF(COUNT(B25)=0,"",B25*IF($B$14="",0,$B$14))</x:f>
      </x:c>
      <x:c r="H25" s="102" t="str">
        <x:f>IF(COUNT(B25)=0,"",B25*IF($B$15="",0,$B$15))</x:f>
      </x:c>
      <x:c r="I25" s="103"/>
      <x:c r="J25" s="103"/>
      <x:c r="K25" s="102" t="str">
        <x:f>IF(COUNT(E25)=0,"",SUM(E25:J25))</x:f>
      </x:c>
      <x:c r="L25" s="102" t="str">
        <x:f>IF(COUNT(D25,K25)&lt;2,"",D25-K25)</x:f>
      </x:c>
      <x:c r="M25" s="102" t="str">
        <x:f>IF(COUNT(D25)=0,"",D25*IF($B$16="",0,$B$16))</x:f>
      </x:c>
      <x:c r="N25" s="102" t="str">
        <x:f>IF(COUNT(K25,$B$17)&lt;2,"",MAX(0,(K25-M25)*$B$17/30))</x:f>
      </x:c>
    </x:row>
    <x:row r="26">
      <x:c r="A26" s="99" t="str">
        <x:v>Month 3</x:v>
      </x:c>
      <x:c r="B26" s="100"/>
      <x:c r="C26" s="101" t="str">
        <x:f>IF(COUNT(B26,$B$12)&lt;2,"",B26*(1-$B$12))</x:f>
      </x:c>
      <x:c r="D26" s="102" t="str">
        <x:f>IF(COUNT(C26,$B$10)&lt;2,"",C26*$B$10)</x:f>
      </x:c>
      <x:c r="E26" s="102" t="str">
        <x:f>IF(COUNT(B26,$B$11)&lt;2,"",B26*$B$11)</x:f>
      </x:c>
      <x:c r="F26" s="102" t="str">
        <x:f>IF(COUNT(B26)=0,"",B26*IF($B$13="",0,$B$13))</x:f>
      </x:c>
      <x:c r="G26" s="102" t="str">
        <x:f>IF(COUNT(B26)=0,"",B26*IF($B$14="",0,$B$14))</x:f>
      </x:c>
      <x:c r="H26" s="102" t="str">
        <x:f>IF(COUNT(B26)=0,"",B26*IF($B$15="",0,$B$15))</x:f>
      </x:c>
      <x:c r="I26" s="103"/>
      <x:c r="J26" s="103"/>
      <x:c r="K26" s="102" t="str">
        <x:f>IF(COUNT(E26)=0,"",SUM(E26:J26))</x:f>
      </x:c>
      <x:c r="L26" s="102" t="str">
        <x:f>IF(COUNT(D26,K26)&lt;2,"",D26-K26)</x:f>
      </x:c>
      <x:c r="M26" s="102" t="str">
        <x:f>IF(COUNT(D26)=0,"",D26*IF($B$16="",0,$B$16))</x:f>
      </x:c>
      <x:c r="N26" s="102" t="str">
        <x:f>IF(COUNT(K26,$B$17)&lt;2,"",MAX(0,(K26-M26)*$B$17/30))</x:f>
      </x:c>
    </x:row>
    <x:row r="27">
      <x:c r="A27" s="99" t="str">
        <x:v>Month 4</x:v>
      </x:c>
      <x:c r="B27" s="100"/>
      <x:c r="C27" s="101" t="str">
        <x:f>IF(COUNT(B27,$B$12)&lt;2,"",B27*(1-$B$12))</x:f>
      </x:c>
      <x:c r="D27" s="102" t="str">
        <x:f>IF(COUNT(C27,$B$10)&lt;2,"",C27*$B$10)</x:f>
      </x:c>
      <x:c r="E27" s="102" t="str">
        <x:f>IF(COUNT(B27,$B$11)&lt;2,"",B27*$B$11)</x:f>
      </x:c>
      <x:c r="F27" s="102" t="str">
        <x:f>IF(COUNT(B27)=0,"",B27*IF($B$13="",0,$B$13))</x:f>
      </x:c>
      <x:c r="G27" s="102" t="str">
        <x:f>IF(COUNT(B27)=0,"",B27*IF($B$14="",0,$B$14))</x:f>
      </x:c>
      <x:c r="H27" s="102" t="str">
        <x:f>IF(COUNT(B27)=0,"",B27*IF($B$15="",0,$B$15))</x:f>
      </x:c>
      <x:c r="I27" s="103"/>
      <x:c r="J27" s="103"/>
      <x:c r="K27" s="102" t="str">
        <x:f>IF(COUNT(E27)=0,"",SUM(E27:J27))</x:f>
      </x:c>
      <x:c r="L27" s="102" t="str">
        <x:f>IF(COUNT(D27,K27)&lt;2,"",D27-K27)</x:f>
      </x:c>
      <x:c r="M27" s="102" t="str">
        <x:f>IF(COUNT(D27)=0,"",D27*IF($B$16="",0,$B$16))</x:f>
      </x:c>
      <x:c r="N27" s="102" t="str">
        <x:f>IF(COUNT(K27,$B$17)&lt;2,"",MAX(0,(K27-M27)*$B$17/30))</x:f>
      </x:c>
    </x:row>
    <x:row r="28">
      <x:c r="A28" s="99" t="str">
        <x:v>Month 5</x:v>
      </x:c>
      <x:c r="B28" s="100"/>
      <x:c r="C28" s="101" t="str">
        <x:f>IF(COUNT(B28,$B$12)&lt;2,"",B28*(1-$B$12))</x:f>
      </x:c>
      <x:c r="D28" s="102" t="str">
        <x:f>IF(COUNT(C28,$B$10)&lt;2,"",C28*$B$10)</x:f>
      </x:c>
      <x:c r="E28" s="102" t="str">
        <x:f>IF(COUNT(B28,$B$11)&lt;2,"",B28*$B$11)</x:f>
      </x:c>
      <x:c r="F28" s="102" t="str">
        <x:f>IF(COUNT(B28)=0,"",B28*IF($B$13="",0,$B$13))</x:f>
      </x:c>
      <x:c r="G28" s="102" t="str">
        <x:f>IF(COUNT(B28)=0,"",B28*IF($B$14="",0,$B$14))</x:f>
      </x:c>
      <x:c r="H28" s="102" t="str">
        <x:f>IF(COUNT(B28)=0,"",B28*IF($B$15="",0,$B$15))</x:f>
      </x:c>
      <x:c r="I28" s="103"/>
      <x:c r="J28" s="103"/>
      <x:c r="K28" s="102" t="str">
        <x:f>IF(COUNT(E28)=0,"",SUM(E28:J28))</x:f>
      </x:c>
      <x:c r="L28" s="102" t="str">
        <x:f>IF(COUNT(D28,K28)&lt;2,"",D28-K28)</x:f>
      </x:c>
      <x:c r="M28" s="102" t="str">
        <x:f>IF(COUNT(D28)=0,"",D28*IF($B$16="",0,$B$16))</x:f>
      </x:c>
      <x:c r="N28" s="102" t="str">
        <x:f>IF(COUNT(K28,$B$17)&lt;2,"",MAX(0,(K28-M28)*$B$17/30))</x:f>
      </x:c>
    </x:row>
    <x:row r="29">
      <x:c r="A29" s="99" t="str">
        <x:v>Month 6</x:v>
      </x:c>
      <x:c r="B29" s="100"/>
      <x:c r="C29" s="101" t="str">
        <x:f>IF(COUNT(B29,$B$12)&lt;2,"",B29*(1-$B$12))</x:f>
      </x:c>
      <x:c r="D29" s="102" t="str">
        <x:f>IF(COUNT(C29,$B$10)&lt;2,"",C29*$B$10)</x:f>
      </x:c>
      <x:c r="E29" s="102" t="str">
        <x:f>IF(COUNT(B29,$B$11)&lt;2,"",B29*$B$11)</x:f>
      </x:c>
      <x:c r="F29" s="102" t="str">
        <x:f>IF(COUNT(B29)=0,"",B29*IF($B$13="",0,$B$13))</x:f>
      </x:c>
      <x:c r="G29" s="102" t="str">
        <x:f>IF(COUNT(B29)=0,"",B29*IF($B$14="",0,$B$14))</x:f>
      </x:c>
      <x:c r="H29" s="102" t="str">
        <x:f>IF(COUNT(B29)=0,"",B29*IF($B$15="",0,$B$15))</x:f>
      </x:c>
      <x:c r="I29" s="103"/>
      <x:c r="J29" s="103"/>
      <x:c r="K29" s="102" t="str">
        <x:f>IF(COUNT(E29)=0,"",SUM(E29:J29))</x:f>
      </x:c>
      <x:c r="L29" s="102" t="str">
        <x:f>IF(COUNT(D29,K29)&lt;2,"",D29-K29)</x:f>
      </x:c>
      <x:c r="M29" s="102" t="str">
        <x:f>IF(COUNT(D29)=0,"",D29*IF($B$16="",0,$B$16))</x:f>
      </x:c>
      <x:c r="N29" s="102" t="str">
        <x:f>IF(COUNT(K29,$B$17)&lt;2,"",MAX(0,(K29-M29)*$B$17/30))</x:f>
      </x:c>
    </x:row>
    <x:row r="30">
      <x:c r="A30" s="99" t="str">
        <x:v>Month 7</x:v>
      </x:c>
      <x:c r="B30" s="100"/>
      <x:c r="C30" s="101" t="str">
        <x:f>IF(COUNT(B30,$B$12)&lt;2,"",B30*(1-$B$12))</x:f>
      </x:c>
      <x:c r="D30" s="102" t="str">
        <x:f>IF(COUNT(C30,$B$10)&lt;2,"",C30*$B$10)</x:f>
      </x:c>
      <x:c r="E30" s="102" t="str">
        <x:f>IF(COUNT(B30,$B$11)&lt;2,"",B30*$B$11)</x:f>
      </x:c>
      <x:c r="F30" s="102" t="str">
        <x:f>IF(COUNT(B30)=0,"",B30*IF($B$13="",0,$B$13))</x:f>
      </x:c>
      <x:c r="G30" s="102" t="str">
        <x:f>IF(COUNT(B30)=0,"",B30*IF($B$14="",0,$B$14))</x:f>
      </x:c>
      <x:c r="H30" s="102" t="str">
        <x:f>IF(COUNT(B30)=0,"",B30*IF($B$15="",0,$B$15))</x:f>
      </x:c>
      <x:c r="I30" s="103"/>
      <x:c r="J30" s="103"/>
      <x:c r="K30" s="102" t="str">
        <x:f>IF(COUNT(E30)=0,"",SUM(E30:J30))</x:f>
      </x:c>
      <x:c r="L30" s="102" t="str">
        <x:f>IF(COUNT(D30,K30)&lt;2,"",D30-K30)</x:f>
      </x:c>
      <x:c r="M30" s="102" t="str">
        <x:f>IF(COUNT(D30)=0,"",D30*IF($B$16="",0,$B$16))</x:f>
      </x:c>
      <x:c r="N30" s="102" t="str">
        <x:f>IF(COUNT(K30,$B$17)&lt;2,"",MAX(0,(K30-M30)*$B$17/30))</x:f>
      </x:c>
    </x:row>
    <x:row r="31">
      <x:c r="A31" s="99" t="str">
        <x:v>Month 8</x:v>
      </x:c>
      <x:c r="B31" s="100"/>
      <x:c r="C31" s="101" t="str">
        <x:f>IF(COUNT(B31,$B$12)&lt;2,"",B31*(1-$B$12))</x:f>
      </x:c>
      <x:c r="D31" s="102" t="str">
        <x:f>IF(COUNT(C31,$B$10)&lt;2,"",C31*$B$10)</x:f>
      </x:c>
      <x:c r="E31" s="102" t="str">
        <x:f>IF(COUNT(B31,$B$11)&lt;2,"",B31*$B$11)</x:f>
      </x:c>
      <x:c r="F31" s="102" t="str">
        <x:f>IF(COUNT(B31)=0,"",B31*IF($B$13="",0,$B$13))</x:f>
      </x:c>
      <x:c r="G31" s="102" t="str">
        <x:f>IF(COUNT(B31)=0,"",B31*IF($B$14="",0,$B$14))</x:f>
      </x:c>
      <x:c r="H31" s="102" t="str">
        <x:f>IF(COUNT(B31)=0,"",B31*IF($B$15="",0,$B$15))</x:f>
      </x:c>
      <x:c r="I31" s="103"/>
      <x:c r="J31" s="103"/>
      <x:c r="K31" s="102" t="str">
        <x:f>IF(COUNT(E31)=0,"",SUM(E31:J31))</x:f>
      </x:c>
      <x:c r="L31" s="102" t="str">
        <x:f>IF(COUNT(D31,K31)&lt;2,"",D31-K31)</x:f>
      </x:c>
      <x:c r="M31" s="102" t="str">
        <x:f>IF(COUNT(D31)=0,"",D31*IF($B$16="",0,$B$16))</x:f>
      </x:c>
      <x:c r="N31" s="102" t="str">
        <x:f>IF(COUNT(K31,$B$17)&lt;2,"",MAX(0,(K31-M31)*$B$17/30))</x:f>
      </x:c>
    </x:row>
    <x:row r="32">
      <x:c r="A32" s="99" t="str">
        <x:v>Month 9</x:v>
      </x:c>
      <x:c r="B32" s="100"/>
      <x:c r="C32" s="101" t="str">
        <x:f>IF(COUNT(B32,$B$12)&lt;2,"",B32*(1-$B$12))</x:f>
      </x:c>
      <x:c r="D32" s="102" t="str">
        <x:f>IF(COUNT(C32,$B$10)&lt;2,"",C32*$B$10)</x:f>
      </x:c>
      <x:c r="E32" s="102" t="str">
        <x:f>IF(COUNT(B32,$B$11)&lt;2,"",B32*$B$11)</x:f>
      </x:c>
      <x:c r="F32" s="102" t="str">
        <x:f>IF(COUNT(B32)=0,"",B32*IF($B$13="",0,$B$13))</x:f>
      </x:c>
      <x:c r="G32" s="102" t="str">
        <x:f>IF(COUNT(B32)=0,"",B32*IF($B$14="",0,$B$14))</x:f>
      </x:c>
      <x:c r="H32" s="102" t="str">
        <x:f>IF(COUNT(B32)=0,"",B32*IF($B$15="",0,$B$15))</x:f>
      </x:c>
      <x:c r="I32" s="103"/>
      <x:c r="J32" s="103"/>
      <x:c r="K32" s="102" t="str">
        <x:f>IF(COUNT(E32)=0,"",SUM(E32:J32))</x:f>
      </x:c>
      <x:c r="L32" s="102" t="str">
        <x:f>IF(COUNT(D32,K32)&lt;2,"",D32-K32)</x:f>
      </x:c>
      <x:c r="M32" s="102" t="str">
        <x:f>IF(COUNT(D32)=0,"",D32*IF($B$16="",0,$B$16))</x:f>
      </x:c>
      <x:c r="N32" s="102" t="str">
        <x:f>IF(COUNT(K32,$B$17)&lt;2,"",MAX(0,(K32-M32)*$B$17/30))</x:f>
      </x:c>
    </x:row>
    <x:row r="33">
      <x:c r="A33" s="99" t="str">
        <x:v>Month 10</x:v>
      </x:c>
      <x:c r="B33" s="100"/>
      <x:c r="C33" s="101" t="str">
        <x:f>IF(COUNT(B33,$B$12)&lt;2,"",B33*(1-$B$12))</x:f>
      </x:c>
      <x:c r="D33" s="102" t="str">
        <x:f>IF(COUNT(C33,$B$10)&lt;2,"",C33*$B$10)</x:f>
      </x:c>
      <x:c r="E33" s="102" t="str">
        <x:f>IF(COUNT(B33,$B$11)&lt;2,"",B33*$B$11)</x:f>
      </x:c>
      <x:c r="F33" s="102" t="str">
        <x:f>IF(COUNT(B33)=0,"",B33*IF($B$13="",0,$B$13))</x:f>
      </x:c>
      <x:c r="G33" s="102" t="str">
        <x:f>IF(COUNT(B33)=0,"",B33*IF($B$14="",0,$B$14))</x:f>
      </x:c>
      <x:c r="H33" s="102" t="str">
        <x:f>IF(COUNT(B33)=0,"",B33*IF($B$15="",0,$B$15))</x:f>
      </x:c>
      <x:c r="I33" s="103"/>
      <x:c r="J33" s="103"/>
      <x:c r="K33" s="102" t="str">
        <x:f>IF(COUNT(E33)=0,"",SUM(E33:J33))</x:f>
      </x:c>
      <x:c r="L33" s="102" t="str">
        <x:f>IF(COUNT(D33,K33)&lt;2,"",D33-K33)</x:f>
      </x:c>
      <x:c r="M33" s="102" t="str">
        <x:f>IF(COUNT(D33)=0,"",D33*IF($B$16="",0,$B$16))</x:f>
      </x:c>
      <x:c r="N33" s="102" t="str">
        <x:f>IF(COUNT(K33,$B$17)&lt;2,"",MAX(0,(K33-M33)*$B$17/30))</x:f>
      </x:c>
    </x:row>
    <x:row r="34">
      <x:c r="A34" s="99" t="str">
        <x:v>Month 11</x:v>
      </x:c>
      <x:c r="B34" s="100"/>
      <x:c r="C34" s="101" t="str">
        <x:f>IF(COUNT(B34,$B$12)&lt;2,"",B34*(1-$B$12))</x:f>
      </x:c>
      <x:c r="D34" s="102" t="str">
        <x:f>IF(COUNT(C34,$B$10)&lt;2,"",C34*$B$10)</x:f>
      </x:c>
      <x:c r="E34" s="102" t="str">
        <x:f>IF(COUNT(B34,$B$11)&lt;2,"",B34*$B$11)</x:f>
      </x:c>
      <x:c r="F34" s="102" t="str">
        <x:f>IF(COUNT(B34)=0,"",B34*IF($B$13="",0,$B$13))</x:f>
      </x:c>
      <x:c r="G34" s="102" t="str">
        <x:f>IF(COUNT(B34)=0,"",B34*IF($B$14="",0,$B$14))</x:f>
      </x:c>
      <x:c r="H34" s="102" t="str">
        <x:f>IF(COUNT(B34)=0,"",B34*IF($B$15="",0,$B$15))</x:f>
      </x:c>
      <x:c r="I34" s="103"/>
      <x:c r="J34" s="103"/>
      <x:c r="K34" s="102" t="str">
        <x:f>IF(COUNT(E34)=0,"",SUM(E34:J34))</x:f>
      </x:c>
      <x:c r="L34" s="102" t="str">
        <x:f>IF(COUNT(D34,K34)&lt;2,"",D34-K34)</x:f>
      </x:c>
      <x:c r="M34" s="102" t="str">
        <x:f>IF(COUNT(D34)=0,"",D34*IF($B$16="",0,$B$16))</x:f>
      </x:c>
      <x:c r="N34" s="102" t="str">
        <x:f>IF(COUNT(K34,$B$17)&lt;2,"",MAX(0,(K34-M34)*$B$17/30))</x:f>
      </x:c>
    </x:row>
    <x:row r="35">
      <x:c r="A35" s="104" t="str">
        <x:v>Month 12</x:v>
      </x:c>
      <x:c r="B35" s="105"/>
      <x:c r="C35" s="106" t="str">
        <x:f>IF(COUNT(B35,$B$12)&lt;2,"",B35*(1-$B$12))</x:f>
      </x:c>
      <x:c r="D35" s="107" t="str">
        <x:f>IF(COUNT(C35,$B$10)&lt;2,"",C35*$B$10)</x:f>
      </x:c>
      <x:c r="E35" s="107" t="str">
        <x:f>IF(COUNT(B35,$B$11)&lt;2,"",B35*$B$11)</x:f>
      </x:c>
      <x:c r="F35" s="107" t="str">
        <x:f>IF(COUNT(B35)=0,"",B35*IF($B$13="",0,$B$13))</x:f>
      </x:c>
      <x:c r="G35" s="107" t="str">
        <x:f>IF(COUNT(B35)=0,"",B35*IF($B$14="",0,$B$14))</x:f>
      </x:c>
      <x:c r="H35" s="107" t="str">
        <x:f>IF(COUNT(B35)=0,"",B35*IF($B$15="",0,$B$15))</x:f>
      </x:c>
      <x:c r="I35" s="108"/>
      <x:c r="J35" s="108"/>
      <x:c r="K35" s="107" t="str">
        <x:f>IF(COUNT(E35)=0,"",SUM(E35:J35))</x:f>
      </x:c>
      <x:c r="L35" s="107" t="str">
        <x:f>IF(COUNT(D35,K35)&lt;2,"",D35-K35)</x:f>
      </x:c>
      <x:c r="M35" s="107" t="str">
        <x:f>IF(COUNT(D35)=0,"",D35*IF($B$16="",0,$B$16))</x:f>
      </x:c>
      <x:c r="N35" s="107" t="str">
        <x:f>IF(COUNT(K35,$B$17)&lt;2,"",MAX(0,(K35-M35)*$B$17/30))</x:f>
      </x:c>
    </x:row>
    <x:row r="36">
      <x:c r="A36" s="109" t="str">
        <x:v>Annual total</x:v>
      </x:c>
      <x:c r="B36" s="110" t="str">
        <x:f>IF(COUNT(B24:B35)=0,"",SUM(B24:B35))</x:f>
      </x:c>
      <x:c r="C36" s="110" t="str">
        <x:f>IF(COUNT(C24:C35)=0,"",SUM(C24:C35))</x:f>
      </x:c>
      <x:c r="D36" s="111" t="str">
        <x:f>IF(COUNT(D24:D35)=0,"",SUM(D24:D35))</x:f>
      </x:c>
      <x:c r="E36" s="111" t="str">
        <x:f>IF(COUNT(E24:E35)=0,"",SUM(E24:E35))</x:f>
      </x:c>
      <x:c r="F36" s="111" t="str">
        <x:f>IF(COUNT(F24:F35)=0,"",SUM(F24:F35))</x:f>
      </x:c>
      <x:c r="G36" s="111" t="str">
        <x:f>IF(COUNT(G24:G35)=0,"",SUM(G24:G35))</x:f>
      </x:c>
      <x:c r="H36" s="111" t="str">
        <x:f>IF(COUNT(H24:H35)=0,"",SUM(H24:H35))</x:f>
      </x:c>
      <x:c r="I36" s="111" t="str">
        <x:f>IF(COUNT(I24:I35)=0,"",SUM(I24:I35))</x:f>
      </x:c>
      <x:c r="J36" s="111" t="str">
        <x:f>IF(COUNT(J24:J35)=0,"",SUM(J24:J35))</x:f>
      </x:c>
      <x:c r="K36" s="111" t="str">
        <x:f>IF(COUNT(K24:K35)=0,"",SUM(K24:K35))</x:f>
      </x:c>
      <x:c r="L36" s="111" t="str">
        <x:f>IF(COUNT(L24:L35)=0,"",SUM(L24:L35))</x:f>
      </x:c>
      <x:c r="M36" s="111" t="str">
        <x:f>IF(COUNT(M24:M35)=0,"",SUM(M24:M35))</x:f>
      </x:c>
      <x:c r="N36" s="111" t="str">
        <x:f>IF(COUNT(N24:N35)=0,"",MAX(N24:N35))</x:f>
      </x:c>
    </x:row>
    <x:row r="37">
      <x:c r="A37" s="76"/>
      <x:c r="B37" s="76"/>
      <x:c r="C37" s="76"/>
      <x:c r="D37" s="76"/>
      <x:c r="E37" s="76"/>
      <x:c r="F37" s="76"/>
      <x:c r="G37" s="76"/>
      <x:c r="H37" s="76"/>
      <x:c r="I37" s="76"/>
      <x:c r="J37" s="76"/>
      <x:c r="K37" s="76"/>
      <x:c r="L37" s="76"/>
      <x:c r="M37" s="76"/>
      <x:c r="N37" s="76"/>
    </x:row>
    <x:row r="38">
      <x:c r="A38" s="76"/>
      <x:c r="B38" s="76"/>
      <x:c r="C38" s="76"/>
      <x:c r="D38" s="76"/>
      <x:c r="E38" s="76"/>
      <x:c r="F38" s="76"/>
      <x:c r="G38" s="76"/>
      <x:c r="H38" s="76"/>
      <x:c r="I38" s="76"/>
      <x:c r="J38" s="76"/>
      <x:c r="K38" s="76"/>
      <x:c r="L38" s="76"/>
      <x:c r="M38" s="76"/>
      <x:c r="N38" s="76"/>
    </x:row>
    <x:row r="39">
      <x:c r="A39" s="83" t="str">
        <x:v>One-time setup costs</x:v>
      </x:c>
      <x:c r="B39" s="83" t="str">
        <x:v>Budget (GHS)</x:v>
      </x:c>
      <x:c r="C39" s="76"/>
      <x:c r="D39" s="76"/>
      <x:c r="E39" s="76"/>
      <x:c r="F39" s="76"/>
      <x:c r="G39" s="76"/>
      <x:c r="H39" s="76"/>
      <x:c r="I39" s="76"/>
      <x:c r="J39" s="76"/>
      <x:c r="K39" s="76"/>
      <x:c r="L39" s="76"/>
      <x:c r="M39" s="76"/>
      <x:c r="N39" s="76"/>
    </x:row>
    <x:row r="40">
      <x:c r="A40" s="112" t="str">
        <x:v>Enter each amount, including 0 if it is not required.</x:v>
      </x:c>
      <x:c r="B40" s="112"/>
      <x:c r="C40" s="76"/>
      <x:c r="D40" s="76"/>
      <x:c r="E40" s="76"/>
      <x:c r="F40" s="76"/>
      <x:c r="G40" s="76"/>
      <x:c r="H40" s="76"/>
      <x:c r="I40" s="76"/>
      <x:c r="J40" s="76"/>
      <x:c r="K40" s="76"/>
      <x:c r="L40" s="76"/>
      <x:c r="M40" s="76"/>
      <x:c r="N40" s="76"/>
    </x:row>
    <x:row r="41">
      <x:c r="A41" s="76"/>
      <x:c r="B41" s="76"/>
      <x:c r="C41" s="76"/>
      <x:c r="D41" s="76"/>
      <x:c r="E41" s="76"/>
      <x:c r="F41" s="76"/>
      <x:c r="G41" s="76"/>
      <x:c r="H41" s="76"/>
      <x:c r="I41" s="76"/>
      <x:c r="J41" s="76"/>
      <x:c r="K41" s="76"/>
      <x:c r="L41" s="76"/>
      <x:c r="M41" s="76"/>
      <x:c r="N41" s="76"/>
    </x:row>
    <x:row r="42">
      <x:c r="A42" s="123" t="str">
        <x:v>Supplier onboarding and farmer registration</x:v>
      </x:c>
      <x:c r="B42" s="114"/>
      <x:c r="C42" s="76"/>
      <x:c r="D42" s="76"/>
      <x:c r="E42" s="76"/>
      <x:c r="F42" s="76"/>
      <x:c r="G42" s="76"/>
      <x:c r="H42" s="76"/>
      <x:c r="I42" s="76"/>
      <x:c r="J42" s="76"/>
      <x:c r="K42" s="76"/>
      <x:c r="L42" s="76"/>
      <x:c r="M42" s="76"/>
      <x:c r="N42" s="76"/>
    </x:row>
    <x:row r="43">
      <x:c r="A43" s="124" t="str">
        <x:v>Weighing and measurement tools</x:v>
      </x:c>
      <x:c r="B43" s="116"/>
      <x:c r="C43" s="76"/>
      <x:c r="D43" s="76"/>
      <x:c r="E43" s="76"/>
      <x:c r="F43" s="76"/>
      <x:c r="G43" s="76"/>
      <x:c r="H43" s="76"/>
      <x:c r="I43" s="76"/>
      <x:c r="J43" s="76"/>
      <x:c r="K43" s="76"/>
      <x:c r="L43" s="76"/>
      <x:c r="M43" s="76"/>
      <x:c r="N43" s="76"/>
    </x:row>
    <x:row r="44">
      <x:c r="A44" s="124" t="str">
        <x:v>Packaging and handling supplies</x:v>
      </x:c>
      <x:c r="B44" s="116"/>
      <x:c r="C44" s="76"/>
      <x:c r="D44" s="76"/>
      <x:c r="E44" s="76"/>
      <x:c r="F44" s="76"/>
      <x:c r="G44" s="76"/>
      <x:c r="H44" s="76"/>
      <x:c r="I44" s="76"/>
      <x:c r="J44" s="76"/>
      <x:c r="K44" s="76"/>
      <x:c r="L44" s="76"/>
      <x:c r="M44" s="76"/>
      <x:c r="N44" s="76"/>
    </x:row>
    <x:row r="45">
      <x:c r="A45" s="124" t="str">
        <x:v>Collection-point and quality setup</x:v>
      </x:c>
      <x:c r="B45" s="116"/>
      <x:c r="C45" s="76"/>
      <x:c r="D45" s="76"/>
      <x:c r="E45" s="76"/>
      <x:c r="F45" s="76"/>
      <x:c r="G45" s="76"/>
      <x:c r="H45" s="76"/>
      <x:c r="I45" s="76"/>
      <x:c r="J45" s="76"/>
      <x:c r="K45" s="76"/>
      <x:c r="L45" s="76"/>
      <x:c r="M45" s="76"/>
      <x:c r="N45" s="76"/>
    </x:row>
    <x:row r="46">
      <x:c r="A46" s="124" t="str">
        <x:v>Business administration and launch costs</x:v>
      </x:c>
      <x:c r="B46" s="116"/>
      <x:c r="C46" s="76"/>
      <x:c r="D46" s="76"/>
      <x:c r="E46" s="76"/>
      <x:c r="F46" s="76"/>
      <x:c r="G46" s="76"/>
      <x:c r="H46" s="76"/>
      <x:c r="I46" s="76"/>
      <x:c r="J46" s="76"/>
      <x:c r="K46" s="76"/>
      <x:c r="L46" s="76"/>
      <x:c r="M46" s="76"/>
      <x:c r="N46" s="76"/>
    </x:row>
    <x:row r="47">
      <x:c r="A47" s="125" t="str">
        <x:v>Other one-time costs</x:v>
      </x:c>
      <x:c r="B47" s="118"/>
      <x:c r="C47" s="76"/>
      <x:c r="D47" s="76"/>
      <x:c r="E47" s="76"/>
      <x:c r="F47" s="76"/>
      <x:c r="G47" s="76"/>
      <x:c r="H47" s="76"/>
      <x:c r="I47" s="76"/>
      <x:c r="J47" s="76"/>
      <x:c r="K47" s="76"/>
      <x:c r="L47" s="76"/>
      <x:c r="M47" s="76"/>
      <x:c r="N47" s="76"/>
    </x:row>
    <x:row r="48">
      <x:c r="A48" s="109" t="str">
        <x:v>Total setup budget</x:v>
      </x:c>
      <x:c r="B48" s="111" t="str">
        <x:f>IF(COUNT(B42:B47)&lt;6,"",SUM(B42:B47))</x:f>
      </x:c>
      <x:c r="C48" s="76"/>
      <x:c r="D48" s="76"/>
      <x:c r="E48" s="76"/>
      <x:c r="F48" s="76"/>
      <x:c r="G48" s="76"/>
      <x:c r="H48" s="76"/>
      <x:c r="I48" s="76"/>
      <x:c r="J48" s="76"/>
      <x:c r="K48" s="76"/>
      <x:c r="L48" s="76"/>
      <x:c r="M48" s="76"/>
      <x:c r="N48" s="76"/>
    </x:row>
    <x:row r="49">
      <x:c r="A49" s="76"/>
      <x:c r="B49" s="76"/>
      <x:c r="C49" s="76"/>
      <x:c r="D49" s="76"/>
      <x:c r="E49" s="76"/>
      <x:c r="F49" s="76"/>
      <x:c r="G49" s="76"/>
      <x:c r="H49" s="76"/>
      <x:c r="I49" s="76"/>
      <x:c r="J49" s="76"/>
      <x:c r="K49" s="76"/>
      <x:c r="L49" s="76"/>
      <x:c r="M49" s="76"/>
      <x:c r="N49" s="76"/>
    </x:row>
    <x:row r="50">
      <x:c r="A50" s="83" t="str">
        <x:v>Budget notes</x:v>
      </x:c>
      <x:c r="B50" s="83"/>
      <x:c r="C50" s="83"/>
      <x:c r="D50" s="83"/>
      <x:c r="E50" s="83"/>
      <x:c r="F50" s="83"/>
      <x:c r="G50" s="83"/>
      <x:c r="H50" s="83"/>
      <x:c r="I50" s="83"/>
      <x:c r="J50" s="83"/>
      <x:c r="K50" s="83"/>
      <x:c r="L50" s="83"/>
      <x:c r="M50" s="83"/>
      <x:c r="N50" s="83"/>
    </x:row>
    <x:row r="51" ht="22" customHeight="1">
      <x:c r="A51" s="119" t="str">
        <x:v>Working capital estimate = peak monthly cash costs net of buyer advance, multiplied by buyer payment days / 30. It assumes orders are spread through the month. Replace it with the actual delivery and farmer-payment schedule when available.</x:v>
      </x:c>
      <x:c r="B51" s="119"/>
      <x:c r="C51" s="119"/>
      <x:c r="D51" s="119"/>
      <x:c r="E51" s="119"/>
      <x:c r="F51" s="119"/>
      <x:c r="G51" s="119"/>
      <x:c r="H51" s="119"/>
      <x:c r="I51" s="119"/>
      <x:c r="J51" s="119"/>
      <x:c r="K51" s="119"/>
      <x:c r="L51" s="119"/>
      <x:c r="M51" s="119"/>
      <x:c r="N51" s="119"/>
    </x:row>
    <x:row r="52" ht="22" customHeight="1">
      <x:c r="A52" s="119" t="str">
        <x:v>Contribution includes monthly overhead and is before tax, financing charges and owner withdrawals.</x:v>
      </x:c>
      <x:c r="B52" s="119"/>
      <x:c r="C52" s="119"/>
      <x:c r="D52" s="119"/>
      <x:c r="E52" s="119"/>
      <x:c r="F52" s="119"/>
      <x:c r="G52" s="119"/>
      <x:c r="H52" s="119"/>
      <x:c r="I52" s="119"/>
      <x:c r="J52" s="119"/>
      <x:c r="K52" s="119"/>
      <x:c r="L52" s="119"/>
      <x:c r="M52" s="119"/>
      <x:c r="N52" s="119"/>
    </x:row>
    <x:row r="53" ht="22" customHeight="1">
      <x:c r="A53" s="119" t="str">
        <x:v>Use buyer contract terms and current route-specific quotations. Confirm quality, rejection, pricing, delivery and payment terms before relying on this budget.</x:v>
      </x:c>
      <x:c r="B53" s="119"/>
      <x:c r="C53" s="119"/>
      <x:c r="D53" s="119"/>
      <x:c r="E53" s="119"/>
      <x:c r="F53" s="119"/>
      <x:c r="G53" s="119"/>
      <x:c r="H53" s="119"/>
      <x:c r="I53" s="119"/>
      <x:c r="J53" s="119"/>
      <x:c r="K53" s="119"/>
      <x:c r="L53" s="119"/>
      <x:c r="M53" s="119"/>
      <x:c r="N53" s="119"/>
    </x:row>
    <x:row r="54" ht="22" customHeight="1">
      <x:c r="A54" s="119" t="str">
        <x:v>This workbook budgets plantain aggregation only. It does not include cultivation or processing costs.</x:v>
      </x:c>
      <x:c r="B54" s="119"/>
      <x:c r="C54" s="119"/>
      <x:c r="D54" s="119"/>
      <x:c r="E54" s="119"/>
      <x:c r="F54" s="119"/>
      <x:c r="G54" s="119"/>
      <x:c r="H54" s="119"/>
      <x:c r="I54" s="119"/>
      <x:c r="J54" s="119"/>
      <x:c r="K54" s="119"/>
      <x:c r="L54" s="119"/>
      <x:c r="M54" s="119"/>
      <x:c r="N54" s="119"/>
    </x:row>
  </x:sheetData>
  <x:pageMargins left="0.7" right="0.7" top="0.75" bottom="0.75" header="0.3" footer="0.3"/>
</x:worksheet>
</file>