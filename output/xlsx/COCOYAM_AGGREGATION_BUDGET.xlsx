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aaa4ab4aa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gregation Budget" sheetId="1" r:id="R3d574df86ffa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₵&quot;#,##0;(&quot;₵&quot;#,##0);-"/>
    <x:numFmt numFmtId="201" formatCode="&quot;₵&quot;#,##0.00"/>
    <x:numFmt numFmtId="202" formatCode="0.0%"/>
    <x:numFmt numFmtId="203" formatCode="&quot;₵&quot;#,##0"/>
    <x:numFmt numFmtId="204" formatCode="#,##0"/>
    <x:numFmt numFmtId="205" formatCode="#,##0.0"/>
  </x:numFmts>
  <x:fonts count="11">
    <x:font>
      <x:sz val="11"/>
      <x:name val="Carlito"/>
    </x:font>
    <x:font>
      <x:b/>
      <x:sz val="16"/>
      <x:color rgb="FF1F5A3A"/>
      <x:name val="Arial"/>
    </x:font>
    <x:font>
      <x:i/>
      <x:sz val="9"/>
      <x:color rgb="FF5C665E"/>
      <x:name val="Arial"/>
    </x:font>
    <x:font>
      <x:b/>
      <x:sz val="10"/>
      <x:color rgb="FF26352B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26352B"/>
      <x:name val="Arial"/>
    </x:font>
    <x:font>
      <x:b/>
      <x:sz val="11"/>
      <x:color rgb="FFFFFFFF"/>
      <x:name val="Arial"/>
    </x:font>
    <x:font>
      <x:b/>
      <x:sz val="9"/>
      <x:color rgb="FF26352B"/>
      <x:name val="Arial"/>
    </x:font>
    <x:font>
      <x:sz val="9"/>
      <x:color rgb="FF26352B"/>
      <x:name val="Arial"/>
    </x:font>
    <x:font>
      <x:sz val="9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7F4"/>
      </x:patternFill>
    </x:fill>
    <x:fill>
      <x:patternFill patternType="solid">
        <x:fgColor rgb="FF1F5A3A"/>
      </x:patternFill>
    </x:fill>
    <x:fill>
      <x:patternFill patternType="solid">
        <x:fgColor rgb="FFFFF2CC"/>
      </x:patternFill>
    </x:fill>
    <x:fill>
      <x:patternFill patternType="solid">
        <x:fgColor rgb="FFE7EFE9"/>
      </x:patternFill>
    </x:fill>
  </x:fills>
  <x:borders count="14">
    <x:border>
      <x:left/>
      <x:right/>
      <x:top/>
      <x:bottom/>
      <x:diagonal/>
    </x:border>
    <x:border>
      <x:left style="thin">
        <x:color rgb="FFC8D4CB"/>
      </x:left>
      <x:right/>
      <x:top style="thin">
        <x:color rgb="FFC8D4CB"/>
      </x:top>
      <x:bottom/>
      <x:diagonal/>
    </x:border>
    <x:border>
      <x:left/>
      <x:right style="thin">
        <x:color rgb="FFC8D4CB"/>
      </x:right>
      <x:top style="thin">
        <x:color rgb="FFC8D4CB"/>
      </x:top>
      <x:bottom/>
      <x:diagonal/>
    </x:border>
    <x:border>
      <x:left style="thin">
        <x:color rgb="FFC8D4CB"/>
      </x:left>
      <x:right/>
      <x:top/>
      <x:bottom/>
      <x:diagonal/>
    </x:border>
    <x:border>
      <x:left/>
      <x:right style="thin">
        <x:color rgb="FFC8D4CB"/>
      </x:right>
      <x:top/>
      <x:bottom/>
      <x:diagonal/>
    </x:border>
    <x:border>
      <x:left style="thin">
        <x:color rgb="FFC8D4CB"/>
      </x:left>
      <x:right/>
      <x:top/>
      <x:bottom style="thin">
        <x:color rgb="FFC8D4CB"/>
      </x:bottom>
      <x:diagonal/>
    </x:border>
    <x:border>
      <x:left/>
      <x:right style="thin">
        <x:color rgb="FFC8D4CB"/>
      </x:right>
      <x:top/>
      <x:bottom style="thin">
        <x:color rgb="FFC8D4CB"/>
      </x:bottom>
      <x:diagonal/>
    </x:border>
    <x:border>
      <x:left/>
      <x:right/>
      <x:top/>
      <x:bottom style="thin">
        <x:color rgb="FFC8D4CB"/>
      </x:bottom>
      <x:diagonal/>
    </x:border>
    <x:border>
      <x:left/>
      <x:right/>
      <x:top style="thin">
        <x:color rgb="FFC8D4CB"/>
      </x:top>
      <x:bottom style="thin">
        <x:color rgb="FFC8D4CB"/>
      </x:bottom>
      <x:diagonal/>
    </x:border>
    <x:border>
      <x:left/>
      <x:right/>
      <x:top style="thin">
        <x:color rgb="FFC8D4CB"/>
      </x:top>
      <x:bottom/>
      <x:diagonal/>
    </x:border>
    <x:border>
      <x:left/>
      <x:right/>
      <x:top/>
      <x:bottom style="thin">
        <x:color rgb="FFE4EAE5"/>
      </x:bottom>
      <x:diagonal/>
    </x:border>
    <x:border>
      <x:left/>
      <x:right/>
      <x:top style="thin">
        <x:color rgb="FFE4EAE5"/>
      </x:top>
      <x:bottom style="thin">
        <x:color rgb="FFE4EAE5"/>
      </x:bottom>
      <x:diagonal/>
    </x:border>
    <x:border>
      <x:left/>
      <x:right/>
      <x:top style="thin">
        <x:color rgb="FFE4EAE5"/>
      </x:top>
      <x:bottom/>
      <x:diagonal/>
    </x:border>
    <x:border>
      <x:left/>
      <x:right/>
      <x:top style="thin">
        <x:color rgb="FF1F5A3A"/>
      </x:top>
      <x:bottom/>
      <x:diagonal/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200" fontId="3" fillId="0" borderId="2" xfId="0" applyNumberFormat="1" applyFont="1" applyFill="1" applyBorder="1" applyAlignment="1">
      <x:alignment wrapText="1"/>
    </x:xf>
    <x:xf numFmtId="200" fontId="3" fillId="0" borderId="4" xfId="0" applyNumberFormat="1" applyFont="1" applyFill="1" applyBorder="1" applyAlignment="1">
      <x:alignment wrapText="1"/>
    </x:xf>
    <x:xf numFmtId="200" fontId="3" fillId="0" borderId="6" xfId="0" applyNumberFormat="1" applyFont="1" applyFill="1" applyBorder="1" applyAlignment="1">
      <x:alignment wrapText="1"/>
    </x:xf>
    <x:xf numFmtId="200" fontId="3" fillId="2" borderId="2" xfId="0" applyNumberFormat="1" applyFont="1" applyFill="1" applyBorder="1" applyAlignment="1">
      <x:alignment wrapText="1"/>
    </x:xf>
    <x:xf numFmtId="200" fontId="3" fillId="2" borderId="4" xfId="0" applyNumberFormat="1" applyFont="1" applyFill="1" applyBorder="1" applyAlignment="1">
      <x:alignment wrapText="1"/>
    </x:xf>
    <x:xf numFmtId="200" fontId="3" fillId="2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203" fontId="5" fillId="4" borderId="0" xfId="0" applyNumberFormat="1" applyFont="1" applyFill="1" applyBorder="1"/>
    <x:xf numFmtId="204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201" fontId="5" fillId="4" borderId="7" xfId="0" applyNumberFormat="1" applyFont="1" applyFill="1" applyBorder="1"/>
    <x:xf numFmtId="0" fontId="6" fillId="0" borderId="8" xfId="0" applyNumberFormat="1" applyFont="1" applyFill="1" applyBorder="1"/>
    <x:xf numFmtId="201" fontId="5" fillId="4" borderId="8" xfId="0" applyNumberFormat="1" applyFont="1" applyFill="1" applyBorder="1"/>
    <x:xf numFmtId="202" fontId="5" fillId="4" borderId="8" xfId="0" applyNumberFormat="1" applyFont="1" applyFill="1" applyBorder="1"/>
    <x:xf numFmtId="203" fontId="5" fillId="4" borderId="8" xfId="0" applyNumberFormat="1" applyFont="1" applyFill="1" applyBorder="1"/>
    <x:xf numFmtId="204" fontId="5" fillId="4" borderId="8" xfId="0" applyNumberFormat="1" applyFont="1" applyFill="1" applyBorder="1"/>
    <x:xf numFmtId="0" fontId="6" fillId="0" borderId="9" xfId="0" applyNumberFormat="1" applyFont="1" applyFill="1" applyBorder="1"/>
    <x:xf numFmtId="203" fontId="5" fillId="4" borderId="9" xfId="0" applyNumberFormat="1" applyFont="1" applyFill="1" applyBorder="1"/>
    <x:xf numFmtId="0" fontId="7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4" borderId="0" xfId="0" applyNumberFormat="1" applyFont="1" applyFill="1" applyBorder="1"/>
    <x:xf numFmtId="0" fontId="10" fillId="4" borderId="0" xfId="0" applyNumberFormat="1" applyFont="1" applyFill="1" applyBorder="1"/>
    <x:xf numFmtId="200" fontId="9" fillId="0" borderId="0" xfId="0" applyNumberFormat="1" applyFont="1" applyFill="1" applyBorder="1"/>
    <x:xf numFmtId="200" fontId="10" fillId="4" borderId="0" xfId="0" applyNumberFormat="1" applyFont="1" applyFill="1" applyBorder="1"/>
    <x:xf numFmtId="205" fontId="10" fillId="4" borderId="0" xfId="0" applyNumberFormat="1" applyFont="1" applyFill="1" applyBorder="1"/>
    <x:xf numFmtId="205" fontId="9" fillId="0" borderId="0" xfId="0" applyNumberFormat="1" applyFont="1" applyFill="1" applyBorder="1"/>
    <x:xf numFmtId="0" fontId="9" fillId="0" borderId="10" xfId="0" applyNumberFormat="1" applyFont="1" applyFill="1" applyBorder="1"/>
    <x:xf numFmtId="205" fontId="10" fillId="4" borderId="10" xfId="0" applyNumberFormat="1" applyFont="1" applyFill="1" applyBorder="1"/>
    <x:xf numFmtId="205" fontId="9" fillId="0" borderId="10" xfId="0" applyNumberFormat="1" applyFont="1" applyFill="1" applyBorder="1"/>
    <x:xf numFmtId="200" fontId="9" fillId="0" borderId="10" xfId="0" applyNumberFormat="1" applyFont="1" applyFill="1" applyBorder="1"/>
    <x:xf numFmtId="200" fontId="10" fillId="4" borderId="10" xfId="0" applyNumberFormat="1" applyFont="1" applyFill="1" applyBorder="1"/>
    <x:xf numFmtId="0" fontId="9" fillId="0" borderId="11" xfId="0" applyNumberFormat="1" applyFont="1" applyFill="1" applyBorder="1"/>
    <x:xf numFmtId="205" fontId="10" fillId="4" borderId="11" xfId="0" applyNumberFormat="1" applyFont="1" applyFill="1" applyBorder="1"/>
    <x:xf numFmtId="205" fontId="9" fillId="0" borderId="11" xfId="0" applyNumberFormat="1" applyFont="1" applyFill="1" applyBorder="1"/>
    <x:xf numFmtId="200" fontId="9" fillId="0" borderId="11" xfId="0" applyNumberFormat="1" applyFont="1" applyFill="1" applyBorder="1"/>
    <x:xf numFmtId="200" fontId="10" fillId="4" borderId="11" xfId="0" applyNumberFormat="1" applyFont="1" applyFill="1" applyBorder="1"/>
    <x:xf numFmtId="0" fontId="9" fillId="0" borderId="12" xfId="0" applyNumberFormat="1" applyFont="1" applyFill="1" applyBorder="1"/>
    <x:xf numFmtId="205" fontId="10" fillId="4" borderId="12" xfId="0" applyNumberFormat="1" applyFont="1" applyFill="1" applyBorder="1"/>
    <x:xf numFmtId="205" fontId="9" fillId="0" borderId="12" xfId="0" applyNumberFormat="1" applyFont="1" applyFill="1" applyBorder="1"/>
    <x:xf numFmtId="200" fontId="9" fillId="0" borderId="12" xfId="0" applyNumberFormat="1" applyFont="1" applyFill="1" applyBorder="1"/>
    <x:xf numFmtId="200" fontId="10" fillId="4" borderId="12" xfId="0" applyNumberFormat="1" applyFont="1" applyFill="1" applyBorder="1"/>
    <x:xf numFmtId="0" fontId="3" fillId="5" borderId="0" xfId="0" applyNumberFormat="1" applyFont="1" applyFill="1" applyBorder="1"/>
    <x:xf numFmtId="0" fontId="3" fillId="5" borderId="13" xfId="0" applyNumberFormat="1" applyFont="1" applyFill="1" applyBorder="1"/>
    <x:xf numFmtId="205" fontId="3" fillId="5" borderId="13" xfId="0" applyNumberFormat="1" applyFont="1" applyFill="1" applyBorder="1"/>
    <x:xf numFmtId="200" fontId="3" fillId="5" borderId="13" xfId="0" applyNumberFormat="1" applyFont="1" applyFill="1" applyBorder="1"/>
    <x:xf numFmtId="200" fontId="5" fillId="4" borderId="0" xfId="0" applyNumberFormat="1" applyFont="1" applyFill="1" applyBorder="1"/>
    <x:xf numFmtId="0" fontId="0" fillId="0" borderId="7" xfId="0" applyNumberFormat="1" applyFont="1" applyFill="1" applyBorder="1"/>
    <x:xf numFmtId="200" fontId="5" fillId="4" borderId="7" xfId="0" applyNumberFormat="1" applyFont="1" applyFill="1" applyBorder="1"/>
    <x:xf numFmtId="0" fontId="0" fillId="0" borderId="8" xfId="0" applyNumberFormat="1" applyFont="1" applyFill="1" applyBorder="1"/>
    <x:xf numFmtId="200" fontId="5" fillId="4" borderId="8" xfId="0" applyNumberFormat="1" applyFont="1" applyFill="1" applyBorder="1"/>
    <x:xf numFmtId="0" fontId="0" fillId="0" borderId="9" xfId="0" applyNumberFormat="1" applyFont="1" applyFill="1" applyBorder="1"/>
    <x:xf numFmtId="200" fontId="5" fillId="4" borderId="9" xfId="0" applyNumberFormat="1" applyFont="1" applyFill="1" applyBorder="1"/>
    <x:xf numFmtId="0" fontId="9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2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/>
    </x:xf>
    <x:xf numFmtId="200" fontId="3" fillId="2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200" fontId="3" fillId="2" borderId="6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  <x:xf numFmtId="203" fontId="5" fillId="4" borderId="8" xfId="0" applyNumberFormat="1" applyFont="1" applyFill="1" applyBorder="1" applyAlignment="1">
      <x:alignment vertical="center"/>
    </x:xf>
    <x:xf numFmtId="204" fontId="5" fillId="4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5" fillId="4" borderId="9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9" fillId="0" borderId="10" xfId="0" applyNumberFormat="1" applyFont="1" applyFill="1" applyBorder="1" applyAlignment="1">
      <x:alignment vertical="center"/>
    </x:xf>
    <x:xf numFmtId="205" fontId="10" fillId="4" borderId="10" xfId="0" applyNumberFormat="1" applyFont="1" applyFill="1" applyBorder="1" applyAlignment="1">
      <x:alignment vertical="center"/>
    </x:xf>
    <x:xf numFmtId="205" fontId="9" fillId="0" borderId="10" xfId="0" applyNumberFormat="1" applyFont="1" applyFill="1" applyBorder="1" applyAlignment="1">
      <x:alignment vertical="center"/>
    </x:xf>
    <x:xf numFmtId="200" fontId="9" fillId="0" borderId="10" xfId="0" applyNumberFormat="1" applyFont="1" applyFill="1" applyBorder="1" applyAlignment="1">
      <x:alignment vertical="center"/>
    </x:xf>
    <x:xf numFmtId="200" fontId="10" fillId="4" borderId="1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205" fontId="10" fillId="4" borderId="11" xfId="0" applyNumberFormat="1" applyFont="1" applyFill="1" applyBorder="1" applyAlignment="1">
      <x:alignment vertical="center"/>
    </x:xf>
    <x:xf numFmtId="205" fontId="9" fillId="0" borderId="11" xfId="0" applyNumberFormat="1" applyFont="1" applyFill="1" applyBorder="1" applyAlignment="1">
      <x:alignment vertical="center"/>
    </x:xf>
    <x:xf numFmtId="200" fontId="9" fillId="0" borderId="11" xfId="0" applyNumberFormat="1" applyFont="1" applyFill="1" applyBorder="1" applyAlignment="1">
      <x:alignment vertical="center"/>
    </x:xf>
    <x:xf numFmtId="200" fontId="10" fillId="4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205" fontId="10" fillId="4" borderId="12" xfId="0" applyNumberFormat="1" applyFont="1" applyFill="1" applyBorder="1" applyAlignment="1">
      <x:alignment vertical="center"/>
    </x:xf>
    <x:xf numFmtId="205" fontId="9" fillId="0" borderId="12" xfId="0" applyNumberFormat="1" applyFont="1" applyFill="1" applyBorder="1" applyAlignment="1">
      <x:alignment vertical="center"/>
    </x:xf>
    <x:xf numFmtId="200" fontId="9" fillId="0" borderId="12" xfId="0" applyNumberFormat="1" applyFont="1" applyFill="1" applyBorder="1" applyAlignment="1">
      <x:alignment vertical="center"/>
    </x:xf>
    <x:xf numFmtId="200" fontId="10" fillId="4" borderId="12" xfId="0" applyNumberFormat="1" applyFont="1" applyFill="1" applyBorder="1" applyAlignment="1">
      <x:alignment vertical="center"/>
    </x:xf>
    <x:xf numFmtId="0" fontId="3" fillId="5" borderId="13" xfId="0" applyNumberFormat="1" applyFont="1" applyFill="1" applyBorder="1" applyAlignment="1">
      <x:alignment vertical="center"/>
    </x:xf>
    <x:xf numFmtId="205" fontId="3" fillId="5" borderId="13" xfId="0" applyNumberFormat="1" applyFont="1" applyFill="1" applyBorder="1" applyAlignment="1">
      <x:alignment vertical="center"/>
    </x:xf>
    <x:xf numFmtId="200" fontId="3" fillId="5" borderId="1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5" fillId="4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5" fillId="4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0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f31b7a76149fe" /><Relationship Type="http://schemas.openxmlformats.org/officeDocument/2006/relationships/theme" Target="/xl/theme/theme1.xml" Id="R02dd9f60b6744894" /><Relationship Type="http://schemas.openxmlformats.org/officeDocument/2006/relationships/sharedStrings" Target="/xl/sharedStrings.xml" Id="R2a4e233a4f374c91" /><Relationship Type="http://schemas.openxmlformats.org/officeDocument/2006/relationships/worksheet" Target="/xl/worksheets/sheet1.xml" Id="R3d574df86ffa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5A3A"/>
  </x:sheetPr>
  <x:sheetViews>
    <x:sheetView showGridLines="0" workbookViewId="0">
      <x:pane ySplit="23" topLeftCell="A24" activePane="bottomLeft" state="frozen"/>
    </x:sheetView>
  </x:sheetViews>
  <x:sheetFormatPr defaultRowHeight="15"/>
  <x:cols>
    <x:col min="2" max="2" width="17" hidden="0" customWidth="1"/>
    <x:col min="1" max="1" width="34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8" customHeight="1">
      <x:c r="A1" s="79" t="str">
        <x:v>Cocoyam Aggregation Budget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</x:row>
    <x:row r="2" ht="30" customHeight="1">
      <x:c r="A2" s="80" t="str">
        <x:v>Ghana cedis (GHS). Enter current buyer, farmer, logistics and operating figures in the yellow cells. No prices or volumes have been assumed.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</x:row>
    <x:row r="4">
      <x:c r="A4" s="82" t="str">
        <x:v>Annual contribution</x:v>
      </x:c>
      <x:c r="B4" s="83" t="str">
        <x:f>IF(COUNT(K24:K35)=0,"",SUM(K24:K35))</x:f>
      </x:c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</x:row>
    <x:row r="5">
      <x:c r="A5" s="84" t="str">
        <x:v>Estimated rolling working capital</x:v>
      </x:c>
      <x:c r="B5" s="85" t="str">
        <x:f>IF(COUNT(M24:M35)=0,"",MAX(M24:M35))</x:f>
      </x:c>
      <x:c r="C5" s="81"/>
      <x:c r="D5" s="81"/>
      <x:c r="E5" s="81"/>
      <x:c r="F5" s="81"/>
      <x:c r="G5" s="81"/>
      <x:c r="H5" s="81"/>
      <x:c r="I5" s="81"/>
      <x:c r="J5" s="81"/>
      <x:c r="K5" s="81"/>
      <x:c r="L5" s="81"/>
      <x:c r="M5" s="81"/>
    </x:row>
    <x:row r="6">
      <x:c r="A6" s="84" t="str">
        <x:v>One-time setup budget</x:v>
      </x:c>
      <x:c r="B6" s="85" t="str">
        <x:f>IF(COUNT(B42:B47)&lt;6,"",SUM(B42:B47))</x:f>
      </x:c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</x:row>
    <x:row r="7">
      <x:c r="A7" s="86" t="str">
        <x:v>Funding gap after owner capital</x:v>
      </x:c>
      <x:c r="B7" s="87" t="str">
        <x:f>IF(OR(COUNT(M24:M35)=0,COUNT(B42:B47)&lt;6,COUNT(B17)=0),"",MAX(0,MAX(M24:M35)+SUM(B42:B47)-B17))</x:f>
      </x:c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</x:row>
    <x:row r="9">
      <x:c r="A9" s="88" t="str">
        <x:v>Core assumptions</x:v>
      </x:c>
      <x:c r="B9" s="88" t="str">
        <x:v>Input</x:v>
      </x:c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</x:row>
    <x:row r="10">
      <x:c r="A10" s="126" t="str">
        <x:v>Off-taker price (GHS per kg)</x:v>
      </x:c>
      <x:c r="B10" s="90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</x:row>
    <x:row r="11">
      <x:c r="A11" s="127" t="str">
        <x:v>Farmer purchase price (GHS per kg)</x:v>
      </x:c>
      <x:c r="B11" s="92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</x:row>
    <x:row r="12">
      <x:c r="A12" s="127" t="str">
        <x:v>Expected rejection / loss rate</x:v>
      </x:c>
      <x:c r="B12" s="93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</x:row>
    <x:row r="13">
      <x:c r="A13" s="127" t="str">
        <x:v>Transport cost (GHS per tonne)</x:v>
      </x:c>
      <x:c r="B13" s="94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</x:row>
    <x:row r="14">
      <x:c r="A14" s="127" t="str">
        <x:v>Bags and handling (GHS per tonne)</x:v>
      </x:c>
      <x:c r="B14" s="94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</x:row>
    <x:row r="15">
      <x:c r="A15" s="127" t="str">
        <x:v>Buyer advance (% of invoice)</x:v>
      </x:c>
      <x:c r="B15" s="93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</x:row>
    <x:row r="16">
      <x:c r="A16" s="127" t="str">
        <x:v>Buyer payment period (days)</x:v>
      </x:c>
      <x:c r="B16" s="95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</x:row>
    <x:row r="17">
      <x:c r="A17" s="128" t="str">
        <x:v>Owner capital available (GHS)</x:v>
      </x:c>
      <x:c r="B17" s="97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</x:row>
    <x:row r="18">
      <x:c r="A18" s="80" t="str">
        <x:v>Optional inputs left blank are treated as zero costs or no buyer advance.</x:v>
      </x:c>
      <x:c r="B18" s="80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</x:row>
    <x:row r="20">
      <x:c r="A20" s="98" t="str">
        <x:v>Monthly operating budget</x:v>
      </x:c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</x:row>
    <x:row r="21" ht="20" customHeight="1">
      <x:c r="A21" s="99" t="str">
        <x:v>Enter planned tonnes purchased and monthly other direct costs / overhead. Calculations use the core assumptions above. Working capital is a planning estimate based on monthly outflow and buyer payment days.</x:v>
      </x:c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</x:row>
    <x:row r="23" ht="42" customHeight="1">
      <x:c r="A23" s="44" t="str">
        <x:v>Month</x:v>
      </x:c>
      <x:c r="B23" s="44" t="str">
        <x:v>Purchased tonnes</x:v>
      </x:c>
      <x:c r="C23" s="44" t="str">
        <x:v>Accepted tonnes</x:v>
      </x:c>
      <x:c r="D23" s="44" t="str">
        <x:v>Buyer revenue</x:v>
      </x:c>
      <x:c r="E23" s="44" t="str">
        <x:v>Farmer purchases</x:v>
      </x:c>
      <x:c r="F23" s="44" t="str">
        <x:v>Transport</x:v>
      </x:c>
      <x:c r="G23" s="44" t="str">
        <x:v>Bags and handling</x:v>
      </x:c>
      <x:c r="H23" s="44" t="str">
        <x:v>Other direct costs</x:v>
      </x:c>
      <x:c r="I23" s="44" t="str">
        <x:v>Monthly overhead</x:v>
      </x:c>
      <x:c r="J23" s="44" t="str">
        <x:v>Total cash costs</x:v>
      </x:c>
      <x:c r="K23" s="44" t="str">
        <x:v>Contribution</x:v>
      </x:c>
      <x:c r="L23" s="44" t="str">
        <x:v>Buyer advance</x:v>
      </x:c>
      <x:c r="M23" s="44" t="str">
        <x:v>Working capital estimate</x:v>
      </x:c>
    </x:row>
    <x:row r="24">
      <x:c r="A24" s="100" t="str">
        <x:v>Month 1</x:v>
      </x:c>
      <x:c r="B24" s="101"/>
      <x:c r="C24" s="102" t="str">
        <x:f>IF(COUNT(B24,$B$12)&lt;2,"",B24*(1-$B$12))</x:f>
      </x:c>
      <x:c r="D24" s="103" t="str">
        <x:f>IF(COUNT(C24,$B$10)&lt;2,"",C24*1000*$B$10)</x:f>
      </x:c>
      <x:c r="E24" s="103" t="str">
        <x:f>IF(COUNT(B24,$B$11)&lt;2,"",B24*1000*$B$11)</x:f>
      </x:c>
      <x:c r="F24" s="103" t="str">
        <x:f>IF(COUNT(B24)=0,"",B24*$B$13)</x:f>
      </x:c>
      <x:c r="G24" s="103" t="str">
        <x:f>IF(COUNT(B24)=0,"",B24*$B$14)</x:f>
      </x:c>
      <x:c r="H24" s="104"/>
      <x:c r="I24" s="104"/>
      <x:c r="J24" s="103" t="str">
        <x:f>IF(COUNT(E24)=0,"",SUM(E24:I24))</x:f>
      </x:c>
      <x:c r="K24" s="103" t="str">
        <x:f>IF(COUNT(D24,J24)&lt;2,"",D24-J24)</x:f>
      </x:c>
      <x:c r="L24" s="103" t="str">
        <x:f>IF(COUNT(D24)=0,"",D24*IF($B$15="",0,$B$15))</x:f>
      </x:c>
      <x:c r="M24" s="103" t="str">
        <x:f>IF(OR(COUNT(J24,$B$16)&lt;2,$B$16&lt;0),"",MAX(0,(J24-L24)*$B$16/30))</x:f>
      </x:c>
    </x:row>
    <x:row r="25">
      <x:c r="A25" s="105" t="str">
        <x:v>Month 2</x:v>
      </x:c>
      <x:c r="B25" s="106"/>
      <x:c r="C25" s="107" t="str">
        <x:f>IF(COUNT(B25,$B$12)&lt;2,"",B25*(1-$B$12))</x:f>
      </x:c>
      <x:c r="D25" s="108" t="str">
        <x:f>IF(COUNT(C25,$B$10)&lt;2,"",C25*1000*$B$10)</x:f>
      </x:c>
      <x:c r="E25" s="108" t="str">
        <x:f>IF(COUNT(B25,$B$11)&lt;2,"",B25*1000*$B$11)</x:f>
      </x:c>
      <x:c r="F25" s="108" t="str">
        <x:f>IF(COUNT(B25)=0,"",B25*$B$13)</x:f>
      </x:c>
      <x:c r="G25" s="108" t="str">
        <x:f>IF(COUNT(B25)=0,"",B25*$B$14)</x:f>
      </x:c>
      <x:c r="H25" s="109"/>
      <x:c r="I25" s="109"/>
      <x:c r="J25" s="108" t="str">
        <x:f>IF(COUNT(E25)=0,"",SUM(E25:I25))</x:f>
      </x:c>
      <x:c r="K25" s="108" t="str">
        <x:f>IF(COUNT(D25,J25)&lt;2,"",D25-J25)</x:f>
      </x:c>
      <x:c r="L25" s="108" t="str">
        <x:f>IF(COUNT(D25)=0,"",D25*IF($B$15="",0,$B$15))</x:f>
      </x:c>
      <x:c r="M25" s="108" t="str">
        <x:f>IF(OR(COUNT(J25,$B$16)&lt;2,$B$16&lt;0),"",MAX(0,(J25-L25)*$B$16/30))</x:f>
      </x:c>
    </x:row>
    <x:row r="26">
      <x:c r="A26" s="105" t="str">
        <x:v>Month 3</x:v>
      </x:c>
      <x:c r="B26" s="106"/>
      <x:c r="C26" s="107" t="str">
        <x:f>IF(COUNT(B26,$B$12)&lt;2,"",B26*(1-$B$12))</x:f>
      </x:c>
      <x:c r="D26" s="108" t="str">
        <x:f>IF(COUNT(C26,$B$10)&lt;2,"",C26*1000*$B$10)</x:f>
      </x:c>
      <x:c r="E26" s="108" t="str">
        <x:f>IF(COUNT(B26,$B$11)&lt;2,"",B26*1000*$B$11)</x:f>
      </x:c>
      <x:c r="F26" s="108" t="str">
        <x:f>IF(COUNT(B26)=0,"",B26*$B$13)</x:f>
      </x:c>
      <x:c r="G26" s="108" t="str">
        <x:f>IF(COUNT(B26)=0,"",B26*$B$14)</x:f>
      </x:c>
      <x:c r="H26" s="109"/>
      <x:c r="I26" s="109"/>
      <x:c r="J26" s="108" t="str">
        <x:f>IF(COUNT(E26)=0,"",SUM(E26:I26))</x:f>
      </x:c>
      <x:c r="K26" s="108" t="str">
        <x:f>IF(COUNT(D26,J26)&lt;2,"",D26-J26)</x:f>
      </x:c>
      <x:c r="L26" s="108" t="str">
        <x:f>IF(COUNT(D26)=0,"",D26*IF($B$15="",0,$B$15))</x:f>
      </x:c>
      <x:c r="M26" s="108" t="str">
        <x:f>IF(OR(COUNT(J26,$B$16)&lt;2,$B$16&lt;0),"",MAX(0,(J26-L26)*$B$16/30))</x:f>
      </x:c>
    </x:row>
    <x:row r="27">
      <x:c r="A27" s="105" t="str">
        <x:v>Month 4</x:v>
      </x:c>
      <x:c r="B27" s="106"/>
      <x:c r="C27" s="107" t="str">
        <x:f>IF(COUNT(B27,$B$12)&lt;2,"",B27*(1-$B$12))</x:f>
      </x:c>
      <x:c r="D27" s="108" t="str">
        <x:f>IF(COUNT(C27,$B$10)&lt;2,"",C27*1000*$B$10)</x:f>
      </x:c>
      <x:c r="E27" s="108" t="str">
        <x:f>IF(COUNT(B27,$B$11)&lt;2,"",B27*1000*$B$11)</x:f>
      </x:c>
      <x:c r="F27" s="108" t="str">
        <x:f>IF(COUNT(B27)=0,"",B27*$B$13)</x:f>
      </x:c>
      <x:c r="G27" s="108" t="str">
        <x:f>IF(COUNT(B27)=0,"",B27*$B$14)</x:f>
      </x:c>
      <x:c r="H27" s="109"/>
      <x:c r="I27" s="109"/>
      <x:c r="J27" s="108" t="str">
        <x:f>IF(COUNT(E27)=0,"",SUM(E27:I27))</x:f>
      </x:c>
      <x:c r="K27" s="108" t="str">
        <x:f>IF(COUNT(D27,J27)&lt;2,"",D27-J27)</x:f>
      </x:c>
      <x:c r="L27" s="108" t="str">
        <x:f>IF(COUNT(D27)=0,"",D27*IF($B$15="",0,$B$15))</x:f>
      </x:c>
      <x:c r="M27" s="108" t="str">
        <x:f>IF(OR(COUNT(J27,$B$16)&lt;2,$B$16&lt;0),"",MAX(0,(J27-L27)*$B$16/30))</x:f>
      </x:c>
    </x:row>
    <x:row r="28">
      <x:c r="A28" s="105" t="str">
        <x:v>Month 5</x:v>
      </x:c>
      <x:c r="B28" s="106"/>
      <x:c r="C28" s="107" t="str">
        <x:f>IF(COUNT(B28,$B$12)&lt;2,"",B28*(1-$B$12))</x:f>
      </x:c>
      <x:c r="D28" s="108" t="str">
        <x:f>IF(COUNT(C28,$B$10)&lt;2,"",C28*1000*$B$10)</x:f>
      </x:c>
      <x:c r="E28" s="108" t="str">
        <x:f>IF(COUNT(B28,$B$11)&lt;2,"",B28*1000*$B$11)</x:f>
      </x:c>
      <x:c r="F28" s="108" t="str">
        <x:f>IF(COUNT(B28)=0,"",B28*$B$13)</x:f>
      </x:c>
      <x:c r="G28" s="108" t="str">
        <x:f>IF(COUNT(B28)=0,"",B28*$B$14)</x:f>
      </x:c>
      <x:c r="H28" s="109"/>
      <x:c r="I28" s="109"/>
      <x:c r="J28" s="108" t="str">
        <x:f>IF(COUNT(E28)=0,"",SUM(E28:I28))</x:f>
      </x:c>
      <x:c r="K28" s="108" t="str">
        <x:f>IF(COUNT(D28,J28)&lt;2,"",D28-J28)</x:f>
      </x:c>
      <x:c r="L28" s="108" t="str">
        <x:f>IF(COUNT(D28)=0,"",D28*IF($B$15="",0,$B$15))</x:f>
      </x:c>
      <x:c r="M28" s="108" t="str">
        <x:f>IF(OR(COUNT(J28,$B$16)&lt;2,$B$16&lt;0),"",MAX(0,(J28-L28)*$B$16/30))</x:f>
      </x:c>
    </x:row>
    <x:row r="29">
      <x:c r="A29" s="105" t="str">
        <x:v>Month 6</x:v>
      </x:c>
      <x:c r="B29" s="106"/>
      <x:c r="C29" s="107" t="str">
        <x:f>IF(COUNT(B29,$B$12)&lt;2,"",B29*(1-$B$12))</x:f>
      </x:c>
      <x:c r="D29" s="108" t="str">
        <x:f>IF(COUNT(C29,$B$10)&lt;2,"",C29*1000*$B$10)</x:f>
      </x:c>
      <x:c r="E29" s="108" t="str">
        <x:f>IF(COUNT(B29,$B$11)&lt;2,"",B29*1000*$B$11)</x:f>
      </x:c>
      <x:c r="F29" s="108" t="str">
        <x:f>IF(COUNT(B29)=0,"",B29*$B$13)</x:f>
      </x:c>
      <x:c r="G29" s="108" t="str">
        <x:f>IF(COUNT(B29)=0,"",B29*$B$14)</x:f>
      </x:c>
      <x:c r="H29" s="109"/>
      <x:c r="I29" s="109"/>
      <x:c r="J29" s="108" t="str">
        <x:f>IF(COUNT(E29)=0,"",SUM(E29:I29))</x:f>
      </x:c>
      <x:c r="K29" s="108" t="str">
        <x:f>IF(COUNT(D29,J29)&lt;2,"",D29-J29)</x:f>
      </x:c>
      <x:c r="L29" s="108" t="str">
        <x:f>IF(COUNT(D29)=0,"",D29*IF($B$15="",0,$B$15))</x:f>
      </x:c>
      <x:c r="M29" s="108" t="str">
        <x:f>IF(OR(COUNT(J29,$B$16)&lt;2,$B$16&lt;0),"",MAX(0,(J29-L29)*$B$16/30))</x:f>
      </x:c>
    </x:row>
    <x:row r="30">
      <x:c r="A30" s="105" t="str">
        <x:v>Month 7</x:v>
      </x:c>
      <x:c r="B30" s="106"/>
      <x:c r="C30" s="107" t="str">
        <x:f>IF(COUNT(B30,$B$12)&lt;2,"",B30*(1-$B$12))</x:f>
      </x:c>
      <x:c r="D30" s="108" t="str">
        <x:f>IF(COUNT(C30,$B$10)&lt;2,"",C30*1000*$B$10)</x:f>
      </x:c>
      <x:c r="E30" s="108" t="str">
        <x:f>IF(COUNT(B30,$B$11)&lt;2,"",B30*1000*$B$11)</x:f>
      </x:c>
      <x:c r="F30" s="108" t="str">
        <x:f>IF(COUNT(B30)=0,"",B30*$B$13)</x:f>
      </x:c>
      <x:c r="G30" s="108" t="str">
        <x:f>IF(COUNT(B30)=0,"",B30*$B$14)</x:f>
      </x:c>
      <x:c r="H30" s="109"/>
      <x:c r="I30" s="109"/>
      <x:c r="J30" s="108" t="str">
        <x:f>IF(COUNT(E30)=0,"",SUM(E30:I30))</x:f>
      </x:c>
      <x:c r="K30" s="108" t="str">
        <x:f>IF(COUNT(D30,J30)&lt;2,"",D30-J30)</x:f>
      </x:c>
      <x:c r="L30" s="108" t="str">
        <x:f>IF(COUNT(D30)=0,"",D30*IF($B$15="",0,$B$15))</x:f>
      </x:c>
      <x:c r="M30" s="108" t="str">
        <x:f>IF(OR(COUNT(J30,$B$16)&lt;2,$B$16&lt;0),"",MAX(0,(J30-L30)*$B$16/30))</x:f>
      </x:c>
    </x:row>
    <x:row r="31">
      <x:c r="A31" s="105" t="str">
        <x:v>Month 8</x:v>
      </x:c>
      <x:c r="B31" s="106"/>
      <x:c r="C31" s="107" t="str">
        <x:f>IF(COUNT(B31,$B$12)&lt;2,"",B31*(1-$B$12))</x:f>
      </x:c>
      <x:c r="D31" s="108" t="str">
        <x:f>IF(COUNT(C31,$B$10)&lt;2,"",C31*1000*$B$10)</x:f>
      </x:c>
      <x:c r="E31" s="108" t="str">
        <x:f>IF(COUNT(B31,$B$11)&lt;2,"",B31*1000*$B$11)</x:f>
      </x:c>
      <x:c r="F31" s="108" t="str">
        <x:f>IF(COUNT(B31)=0,"",B31*$B$13)</x:f>
      </x:c>
      <x:c r="G31" s="108" t="str">
        <x:f>IF(COUNT(B31)=0,"",B31*$B$14)</x:f>
      </x:c>
      <x:c r="H31" s="109"/>
      <x:c r="I31" s="109"/>
      <x:c r="J31" s="108" t="str">
        <x:f>IF(COUNT(E31)=0,"",SUM(E31:I31))</x:f>
      </x:c>
      <x:c r="K31" s="108" t="str">
        <x:f>IF(COUNT(D31,J31)&lt;2,"",D31-J31)</x:f>
      </x:c>
      <x:c r="L31" s="108" t="str">
        <x:f>IF(COUNT(D31)=0,"",D31*IF($B$15="",0,$B$15))</x:f>
      </x:c>
      <x:c r="M31" s="108" t="str">
        <x:f>IF(OR(COUNT(J31,$B$16)&lt;2,$B$16&lt;0),"",MAX(0,(J31-L31)*$B$16/30))</x:f>
      </x:c>
    </x:row>
    <x:row r="32">
      <x:c r="A32" s="105" t="str">
        <x:v>Month 9</x:v>
      </x:c>
      <x:c r="B32" s="106"/>
      <x:c r="C32" s="107" t="str">
        <x:f>IF(COUNT(B32,$B$12)&lt;2,"",B32*(1-$B$12))</x:f>
      </x:c>
      <x:c r="D32" s="108" t="str">
        <x:f>IF(COUNT(C32,$B$10)&lt;2,"",C32*1000*$B$10)</x:f>
      </x:c>
      <x:c r="E32" s="108" t="str">
        <x:f>IF(COUNT(B32,$B$11)&lt;2,"",B32*1000*$B$11)</x:f>
      </x:c>
      <x:c r="F32" s="108" t="str">
        <x:f>IF(COUNT(B32)=0,"",B32*$B$13)</x:f>
      </x:c>
      <x:c r="G32" s="108" t="str">
        <x:f>IF(COUNT(B32)=0,"",B32*$B$14)</x:f>
      </x:c>
      <x:c r="H32" s="109"/>
      <x:c r="I32" s="109"/>
      <x:c r="J32" s="108" t="str">
        <x:f>IF(COUNT(E32)=0,"",SUM(E32:I32))</x:f>
      </x:c>
      <x:c r="K32" s="108" t="str">
        <x:f>IF(COUNT(D32,J32)&lt;2,"",D32-J32)</x:f>
      </x:c>
      <x:c r="L32" s="108" t="str">
        <x:f>IF(COUNT(D32)=0,"",D32*IF($B$15="",0,$B$15))</x:f>
      </x:c>
      <x:c r="M32" s="108" t="str">
        <x:f>IF(OR(COUNT(J32,$B$16)&lt;2,$B$16&lt;0),"",MAX(0,(J32-L32)*$B$16/30))</x:f>
      </x:c>
    </x:row>
    <x:row r="33">
      <x:c r="A33" s="105" t="str">
        <x:v>Month 10</x:v>
      </x:c>
      <x:c r="B33" s="106"/>
      <x:c r="C33" s="107" t="str">
        <x:f>IF(COUNT(B33,$B$12)&lt;2,"",B33*(1-$B$12))</x:f>
      </x:c>
      <x:c r="D33" s="108" t="str">
        <x:f>IF(COUNT(C33,$B$10)&lt;2,"",C33*1000*$B$10)</x:f>
      </x:c>
      <x:c r="E33" s="108" t="str">
        <x:f>IF(COUNT(B33,$B$11)&lt;2,"",B33*1000*$B$11)</x:f>
      </x:c>
      <x:c r="F33" s="108" t="str">
        <x:f>IF(COUNT(B33)=0,"",B33*$B$13)</x:f>
      </x:c>
      <x:c r="G33" s="108" t="str">
        <x:f>IF(COUNT(B33)=0,"",B33*$B$14)</x:f>
      </x:c>
      <x:c r="H33" s="109"/>
      <x:c r="I33" s="109"/>
      <x:c r="J33" s="108" t="str">
        <x:f>IF(COUNT(E33)=0,"",SUM(E33:I33))</x:f>
      </x:c>
      <x:c r="K33" s="108" t="str">
        <x:f>IF(COUNT(D33,J33)&lt;2,"",D33-J33)</x:f>
      </x:c>
      <x:c r="L33" s="108" t="str">
        <x:f>IF(COUNT(D33)=0,"",D33*IF($B$15="",0,$B$15))</x:f>
      </x:c>
      <x:c r="M33" s="108" t="str">
        <x:f>IF(OR(COUNT(J33,$B$16)&lt;2,$B$16&lt;0),"",MAX(0,(J33-L33)*$B$16/30))</x:f>
      </x:c>
    </x:row>
    <x:row r="34">
      <x:c r="A34" s="105" t="str">
        <x:v>Month 11</x:v>
      </x:c>
      <x:c r="B34" s="106"/>
      <x:c r="C34" s="107" t="str">
        <x:f>IF(COUNT(B34,$B$12)&lt;2,"",B34*(1-$B$12))</x:f>
      </x:c>
      <x:c r="D34" s="108" t="str">
        <x:f>IF(COUNT(C34,$B$10)&lt;2,"",C34*1000*$B$10)</x:f>
      </x:c>
      <x:c r="E34" s="108" t="str">
        <x:f>IF(COUNT(B34,$B$11)&lt;2,"",B34*1000*$B$11)</x:f>
      </x:c>
      <x:c r="F34" s="108" t="str">
        <x:f>IF(COUNT(B34)=0,"",B34*$B$13)</x:f>
      </x:c>
      <x:c r="G34" s="108" t="str">
        <x:f>IF(COUNT(B34)=0,"",B34*$B$14)</x:f>
      </x:c>
      <x:c r="H34" s="109"/>
      <x:c r="I34" s="109"/>
      <x:c r="J34" s="108" t="str">
        <x:f>IF(COUNT(E34)=0,"",SUM(E34:I34))</x:f>
      </x:c>
      <x:c r="K34" s="108" t="str">
        <x:f>IF(COUNT(D34,J34)&lt;2,"",D34-J34)</x:f>
      </x:c>
      <x:c r="L34" s="108" t="str">
        <x:f>IF(COUNT(D34)=0,"",D34*IF($B$15="",0,$B$15))</x:f>
      </x:c>
      <x:c r="M34" s="108" t="str">
        <x:f>IF(OR(COUNT(J34,$B$16)&lt;2,$B$16&lt;0),"",MAX(0,(J34-L34)*$B$16/30))</x:f>
      </x:c>
    </x:row>
    <x:row r="35">
      <x:c r="A35" s="110" t="str">
        <x:v>Month 12</x:v>
      </x:c>
      <x:c r="B35" s="111"/>
      <x:c r="C35" s="112" t="str">
        <x:f>IF(COUNT(B35,$B$12)&lt;2,"",B35*(1-$B$12))</x:f>
      </x:c>
      <x:c r="D35" s="113" t="str">
        <x:f>IF(COUNT(C35,$B$10)&lt;2,"",C35*1000*$B$10)</x:f>
      </x:c>
      <x:c r="E35" s="113" t="str">
        <x:f>IF(COUNT(B35,$B$11)&lt;2,"",B35*1000*$B$11)</x:f>
      </x:c>
      <x:c r="F35" s="113" t="str">
        <x:f>IF(COUNT(B35)=0,"",B35*$B$13)</x:f>
      </x:c>
      <x:c r="G35" s="113" t="str">
        <x:f>IF(COUNT(B35)=0,"",B35*$B$14)</x:f>
      </x:c>
      <x:c r="H35" s="114"/>
      <x:c r="I35" s="114"/>
      <x:c r="J35" s="113" t="str">
        <x:f>IF(COUNT(E35)=0,"",SUM(E35:I35))</x:f>
      </x:c>
      <x:c r="K35" s="113" t="str">
        <x:f>IF(COUNT(D35,J35)&lt;2,"",D35-J35)</x:f>
      </x:c>
      <x:c r="L35" s="113" t="str">
        <x:f>IF(COUNT(D35)=0,"",D35*IF($B$15="",0,$B$15))</x:f>
      </x:c>
      <x:c r="M35" s="113" t="str">
        <x:f>IF(OR(COUNT(J35,$B$16)&lt;2,$B$16&lt;0),"",MAX(0,(J35-L35)*$B$16/30))</x:f>
      </x:c>
    </x:row>
    <x:row r="36">
      <x:c r="A36" s="115" t="str">
        <x:v>Annual total</x:v>
      </x:c>
      <x:c r="B36" s="116" t="str">
        <x:f>IF(COUNT(B24:B35)=0,"",SUM(B24:B35))</x:f>
      </x:c>
      <x:c r="C36" s="116" t="str">
        <x:f>IF(COUNT(C24:C35)=0,"",SUM(C24:C35))</x:f>
      </x:c>
      <x:c r="D36" s="117" t="str">
        <x:f>IF(COUNT(D24:D35)=0,"",SUM(D24:D35))</x:f>
      </x:c>
      <x:c r="E36" s="117" t="str">
        <x:f>IF(COUNT(E24:E35)=0,"",SUM(E24:E35))</x:f>
      </x:c>
      <x:c r="F36" s="117" t="str">
        <x:f>IF(COUNT(F24:F35)=0,"",SUM(F24:F35))</x:f>
      </x:c>
      <x:c r="G36" s="117" t="str">
        <x:f>IF(COUNT(G24:G35)=0,"",SUM(G24:G35))</x:f>
      </x:c>
      <x:c r="H36" s="117" t="str">
        <x:f>IF(COUNT(H24:H35)=0,"",SUM(H24:H35))</x:f>
      </x:c>
      <x:c r="I36" s="117" t="str">
        <x:f>IF(COUNT(I24:I35)=0,"",SUM(I24:I35))</x:f>
      </x:c>
      <x:c r="J36" s="117" t="str">
        <x:f>IF(COUNT(J24:J35)=0,"",SUM(J24:J35))</x:f>
      </x:c>
      <x:c r="K36" s="117" t="str">
        <x:f>IF(COUNT(K24:K35)=0,"",SUM(K24:K35))</x:f>
      </x:c>
      <x:c r="L36" s="117" t="str">
        <x:f>IF(COUNT(L24:L35)=0,"",SUM(L24:L35))</x:f>
      </x:c>
      <x:c r="M36" s="117" t="str">
        <x:f>IF(COUNT(M24:M35)=0,"",MAX(M24:M35))</x:f>
      </x:c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</x:row>
    <x:row r="39">
      <x:c r="A39" s="88" t="str">
        <x:v>One-time setup costs</x:v>
      </x:c>
      <x:c r="B39" s="88" t="str">
        <x:v>Budget (GHS)</x:v>
      </x:c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</x:row>
    <x:row r="40">
      <x:c r="A40" s="118" t="str">
        <x:v>Enter each amount, including 0 if not required.</x:v>
      </x:c>
      <x:c r="B40" s="118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</x:row>
    <x:row r="42">
      <x:c r="A42" s="129" t="str">
        <x:v>Supplier onboarding and farmer registration</x:v>
      </x:c>
      <x:c r="B42" s="120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</x:row>
    <x:row r="43">
      <x:c r="A43" s="130" t="str">
        <x:v>Weighing and measurement equipment</x:v>
      </x:c>
      <x:c r="B43" s="122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</x:row>
    <x:row r="44">
      <x:c r="A44" s="130" t="str">
        <x:v>Bags, crates and handling supplies</x:v>
      </x:c>
      <x:c r="B44" s="122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</x:row>
    <x:row r="45">
      <x:c r="A45" s="130" t="str">
        <x:v>Quality inspection and grading setup</x:v>
      </x:c>
      <x:c r="B45" s="122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</x:row>
    <x:row r="46">
      <x:c r="A46" s="130" t="str">
        <x:v>Business administration and launch costs</x:v>
      </x:c>
      <x:c r="B46" s="122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</x:row>
    <x:row r="47">
      <x:c r="A47" s="131" t="str">
        <x:v>Other one-time costs</x:v>
      </x:c>
      <x:c r="B47" s="124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</x:row>
    <x:row r="48">
      <x:c r="A48" s="115" t="str">
        <x:v>Total setup budget</x:v>
      </x:c>
      <x:c r="B48" s="117" t="str">
        <x:f>IF(COUNT(B42:B47)&lt;6,"",SUM(B42:B47))</x:f>
      </x:c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</x:row>
    <x:row r="50">
      <x:c r="A50" s="88" t="str">
        <x:v>Budget notes</x:v>
      </x:c>
      <x:c r="B50" s="88"/>
      <x:c r="C50" s="88"/>
      <x:c r="D50" s="88"/>
      <x:c r="E50" s="88"/>
      <x:c r="F50" s="88"/>
      <x:c r="G50" s="88"/>
      <x:c r="H50" s="88"/>
      <x:c r="I50" s="88"/>
      <x:c r="J50" s="88"/>
      <x:c r="K50" s="88"/>
      <x:c r="L50" s="88"/>
      <x:c r="M50" s="88"/>
    </x:row>
    <x:row r="51" ht="22" customHeight="1">
      <x:c r="A51" s="125" t="str">
        <x:v>Working capital estimate = peak monthly cash costs net of buyer advance, multiplied by buyer payment days / 30. It assumes orders are spread through the month; refine it using the actual delivery and farmer-payment schedule.</x:v>
      </x:c>
      <x:c r="B51" s="125"/>
      <x:c r="C51" s="125"/>
      <x:c r="D51" s="125"/>
      <x:c r="E51" s="125"/>
      <x:c r="F51" s="125"/>
      <x:c r="G51" s="125"/>
      <x:c r="H51" s="125"/>
      <x:c r="I51" s="125"/>
      <x:c r="J51" s="125"/>
      <x:c r="K51" s="125"/>
      <x:c r="L51" s="125"/>
      <x:c r="M51" s="125"/>
    </x:row>
    <x:row r="52" ht="22" customHeight="1">
      <x:c r="A52" s="125" t="str">
        <x:v>Contribution includes monthly overhead and is before tax, financing charges and owner withdrawals.</x:v>
      </x:c>
      <x:c r="B52" s="125"/>
      <x:c r="C52" s="125"/>
      <x:c r="D52" s="125"/>
      <x:c r="E52" s="125"/>
      <x:c r="F52" s="125"/>
      <x:c r="G52" s="125"/>
      <x:c r="H52" s="125"/>
      <x:c r="I52" s="125"/>
      <x:c r="J52" s="125"/>
      <x:c r="K52" s="125"/>
      <x:c r="L52" s="125"/>
      <x:c r="M52" s="125"/>
    </x:row>
    <x:row r="53" ht="22" customHeight="1">
      <x:c r="A53" s="125" t="str">
        <x:v>Use the off-taker contract and current local quotations to fill the yellow cells. Confirm buyer grade, rejection, price, delivery and payment terms before relying on this budget.</x:v>
      </x:c>
      <x:c r="B53" s="125"/>
      <x:c r="C53" s="125"/>
      <x:c r="D53" s="125"/>
      <x:c r="E53" s="125"/>
      <x:c r="F53" s="125"/>
      <x:c r="G53" s="125"/>
      <x:c r="H53" s="125"/>
      <x:c r="I53" s="125"/>
      <x:c r="J53" s="125"/>
      <x:c r="K53" s="125"/>
      <x:c r="L53" s="125"/>
      <x:c r="M53" s="125"/>
    </x:row>
    <x:row r="54" ht="22" customHeight="1">
      <x:c r="A54" s="125" t="str">
        <x:v>No crop-farm cultivation costs are included. This workbook budgets cocoyam aggregation only.</x:v>
      </x:c>
      <x:c r="B54" s="125"/>
      <x:c r="C54" s="125"/>
      <x:c r="D54" s="125"/>
      <x:c r="E54" s="125"/>
      <x:c r="F54" s="125"/>
      <x:c r="G54" s="125"/>
      <x:c r="H54" s="125"/>
      <x:c r="I54" s="125"/>
      <x:c r="J54" s="125"/>
      <x:c r="K54" s="125"/>
      <x:c r="L54" s="125"/>
      <x:c r="M54" s="125"/>
    </x:row>
  </x:sheetData>
  <x:pageMargins left="0.7" right="0.7" top="0.75" bottom="0.75" header="0.3" footer="0.3"/>
</x:worksheet>
</file>